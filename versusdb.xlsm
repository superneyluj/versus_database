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erneiluj\OneDrive\Bureau\versus_database\"/>
    </mc:Choice>
  </mc:AlternateContent>
  <xr:revisionPtr revIDLastSave="0" documentId="13_ncr:1_{911E68FF-CEBF-4538-852A-80B9C130A842}" xr6:coauthVersionLast="47" xr6:coauthVersionMax="47" xr10:uidLastSave="{00000000-0000-0000-0000-000000000000}"/>
  <bookViews>
    <workbookView xWindow="-38520" yWindow="-120" windowWidth="38640" windowHeight="21120" activeTab="11" xr2:uid="{4482357D-AA15-4A1D-9F09-EC0FB78133B6}"/>
  </bookViews>
  <sheets>
    <sheet name="utilisateur" sheetId="1" r:id="rId1"/>
    <sheet name="movie" sheetId="2" r:id="rId2"/>
    <sheet name="actor" sheetId="10" r:id="rId3"/>
    <sheet name="tv_show" sheetId="3" r:id="rId4"/>
    <sheet name="platform" sheetId="4" r:id="rId5"/>
    <sheet name="subscription" sheetId="5" r:id="rId6"/>
    <sheet name="tv_show_viewing" sheetId="6" r:id="rId7"/>
    <sheet name="movie_viewing" sheetId="7" r:id="rId8"/>
    <sheet name="movie_disponibility" sheetId="8" r:id="rId9"/>
    <sheet name="tv_show_disponibility" sheetId="9" r:id="rId10"/>
    <sheet name="play_in_movie" sheetId="13" r:id="rId11"/>
    <sheet name="play_in_tv_show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8" l="1"/>
  <c r="C7" i="8"/>
  <c r="C8" i="8"/>
  <c r="C9" i="8"/>
  <c r="C10" i="8"/>
  <c r="C11" i="8"/>
  <c r="C12" i="8"/>
  <c r="C13" i="8"/>
  <c r="C14" i="8"/>
  <c r="C5" i="8"/>
  <c r="D6" i="7" a="1"/>
  <c r="D6" i="7" s="1"/>
  <c r="D7" i="7" a="1"/>
  <c r="D7" i="7" s="1"/>
  <c r="D8" i="7" a="1"/>
  <c r="D8" i="7" s="1"/>
  <c r="D9" i="7" a="1"/>
  <c r="D9" i="7" s="1"/>
  <c r="D10" i="7" a="1"/>
  <c r="D10" i="7" s="1"/>
  <c r="D11" i="7" a="1"/>
  <c r="D11" i="7" s="1"/>
  <c r="D12" i="7" a="1"/>
  <c r="D12" i="7" s="1"/>
  <c r="D13" i="7" a="1"/>
  <c r="D13" i="7" s="1"/>
  <c r="D14" i="7" a="1"/>
  <c r="D14" i="7" s="1"/>
  <c r="D15" i="7" a="1"/>
  <c r="D15" i="7" s="1"/>
  <c r="D16" i="7" a="1"/>
  <c r="D16" i="7" s="1"/>
  <c r="D5" i="7" a="1"/>
  <c r="D5" i="7" s="1"/>
  <c r="E15" i="7" a="1"/>
  <c r="E15" i="7" s="1"/>
  <c r="G15" i="7"/>
  <c r="E16" i="7" a="1"/>
  <c r="E16" i="7" s="1"/>
  <c r="G16" i="7"/>
  <c r="G11" i="7"/>
  <c r="G12" i="7"/>
  <c r="G13" i="7"/>
  <c r="G14" i="7"/>
  <c r="C16" i="7"/>
  <c r="B16" i="7"/>
  <c r="C15" i="7"/>
  <c r="B15" i="7"/>
  <c r="E14" i="7" a="1"/>
  <c r="E14" i="7" s="1"/>
  <c r="C14" i="7"/>
  <c r="B14" i="7"/>
  <c r="E13" i="7" a="1"/>
  <c r="E13" i="7" s="1"/>
  <c r="C13" i="7"/>
  <c r="B13" i="7"/>
  <c r="E12" i="7" a="1"/>
  <c r="E12" i="7" s="1"/>
  <c r="C12" i="7"/>
  <c r="B12" i="7"/>
  <c r="E11" i="7" a="1"/>
  <c r="E11" i="7" s="1"/>
  <c r="C11" i="7"/>
  <c r="B11" i="7"/>
  <c r="G10" i="7"/>
  <c r="E10" i="7" a="1"/>
  <c r="E10" i="7" s="1"/>
  <c r="C10" i="7"/>
  <c r="B10" i="7"/>
  <c r="G9" i="7"/>
  <c r="E9" i="7" a="1"/>
  <c r="E9" i="7" s="1"/>
  <c r="C9" i="7"/>
  <c r="B9" i="7"/>
  <c r="G8" i="7"/>
  <c r="E8" i="7" a="1"/>
  <c r="E8" i="7" s="1"/>
  <c r="C8" i="7"/>
  <c r="B8" i="7"/>
  <c r="G7" i="7"/>
  <c r="E7" i="7" a="1"/>
  <c r="E7" i="7" s="1"/>
  <c r="C7" i="7"/>
  <c r="B7" i="7"/>
  <c r="G6" i="7"/>
  <c r="E6" i="7" a="1"/>
  <c r="E6" i="7" s="1"/>
  <c r="C6" i="7"/>
  <c r="B6" i="7"/>
  <c r="G5" i="7"/>
  <c r="E5" i="7" a="1"/>
  <c r="E5" i="7" s="1"/>
  <c r="C5" i="7"/>
  <c r="B5" i="7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5" i="5" a="1"/>
  <c r="D5" i="5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5" i="6" a="1"/>
  <c r="E5" i="6" s="1"/>
  <c r="D6" i="6" a="1"/>
  <c r="D6" i="6" s="1"/>
  <c r="D7" i="6" a="1"/>
  <c r="D7" i="6" s="1"/>
  <c r="D8" i="6" a="1"/>
  <c r="D8" i="6" s="1"/>
  <c r="D9" i="6" a="1"/>
  <c r="D9" i="6" s="1"/>
  <c r="D10" i="6" a="1"/>
  <c r="D10" i="6" s="1"/>
  <c r="D11" i="6" a="1"/>
  <c r="D11" i="6" s="1"/>
  <c r="D12" i="6" a="1"/>
  <c r="D12" i="6" s="1"/>
  <c r="D13" i="6" a="1"/>
  <c r="D13" i="6" s="1"/>
  <c r="D14" i="6" a="1"/>
  <c r="D14" i="6" s="1"/>
  <c r="D15" i="6" a="1"/>
  <c r="D15" i="6" s="1"/>
  <c r="D16" i="6" a="1"/>
  <c r="D16" i="6" s="1"/>
  <c r="D5" i="6" a="1"/>
  <c r="D5" i="6" s="1"/>
  <c r="I6" i="6"/>
  <c r="I7" i="6"/>
  <c r="I8" i="6"/>
  <c r="I9" i="6"/>
  <c r="I10" i="6"/>
  <c r="I11" i="6"/>
  <c r="I12" i="6"/>
  <c r="I13" i="6"/>
  <c r="I14" i="6"/>
  <c r="I15" i="6"/>
  <c r="I16" i="6"/>
  <c r="I5" i="6"/>
  <c r="H6" i="6"/>
  <c r="H7" i="6"/>
  <c r="H8" i="6"/>
  <c r="H9" i="6"/>
  <c r="H10" i="6"/>
  <c r="H11" i="6"/>
  <c r="H12" i="6"/>
  <c r="H13" i="6"/>
  <c r="H14" i="6"/>
  <c r="H15" i="6"/>
  <c r="H16" i="6"/>
  <c r="H5" i="6"/>
  <c r="G6" i="6"/>
  <c r="G7" i="6"/>
  <c r="G8" i="6"/>
  <c r="G9" i="6"/>
  <c r="G10" i="6"/>
  <c r="G11" i="6"/>
  <c r="G12" i="6"/>
  <c r="G13" i="6"/>
  <c r="G14" i="6"/>
  <c r="G15" i="6"/>
  <c r="G16" i="6"/>
  <c r="G5" i="6"/>
  <c r="C6" i="6"/>
  <c r="C7" i="6"/>
  <c r="C8" i="6"/>
  <c r="C9" i="6"/>
  <c r="C10" i="6"/>
  <c r="C11" i="6"/>
  <c r="C12" i="6"/>
  <c r="C13" i="6"/>
  <c r="C14" i="6"/>
  <c r="C15" i="6"/>
  <c r="C16" i="6"/>
  <c r="C5" i="6"/>
  <c r="B6" i="6"/>
  <c r="B7" i="6"/>
  <c r="B8" i="6"/>
  <c r="B9" i="6"/>
  <c r="B10" i="6"/>
  <c r="B11" i="6"/>
  <c r="B12" i="6"/>
  <c r="B13" i="6"/>
  <c r="B14" i="6"/>
  <c r="B15" i="6"/>
  <c r="B16" i="6"/>
  <c r="B5" i="6"/>
  <c r="C5" i="5"/>
  <c r="B6" i="5"/>
  <c r="B7" i="5"/>
  <c r="B8" i="5"/>
  <c r="B9" i="5"/>
  <c r="B10" i="5"/>
  <c r="B11" i="5"/>
  <c r="B12" i="5"/>
  <c r="B13" i="5"/>
  <c r="B14" i="5"/>
  <c r="B5" i="5"/>
  <c r="C6" i="5"/>
  <c r="C7" i="5"/>
  <c r="C8" i="5"/>
  <c r="C9" i="5"/>
  <c r="C10" i="5"/>
  <c r="C11" i="5"/>
  <c r="C12" i="5"/>
  <c r="C13" i="5"/>
  <c r="C14" i="5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<sst xmlns="http://schemas.openxmlformats.org/spreadsheetml/2006/main" count="399" uniqueCount="242">
  <si>
    <t>Utilisateur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</si>
  <si>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</si>
  <si>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</si>
  <si>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</si>
  <si>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</si>
  <si>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</si>
  <si>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</si>
  <si>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</si>
  <si>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</si>
  <si>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</si>
  <si>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</si>
  <si>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</si>
  <si>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</si>
  <si>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</si>
  <si>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</si>
  <si>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</si>
  <si>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</si>
  <si>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</si>
  <si>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</si>
  <si>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</si>
  <si>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</si>
  <si>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</si>
  <si>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</si>
  <si>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</si>
  <si>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</si>
  <si>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</si>
  <si>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</si>
  <si>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</si>
  <si>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</si>
  <si>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</si>
  <si>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</si>
  <si>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</si>
  <si>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</si>
  <si>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</si>
  <si>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</si>
  <si>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</si>
  <si>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</si>
  <si>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</si>
  <si>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</si>
  <si>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</si>
  <si>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</si>
  <si>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</si>
  <si>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</si>
  <si>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</si>
  <si>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</si>
  <si>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</si>
  <si>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</si>
  <si>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</si>
  <si>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</si>
  <si>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</si>
  <si>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</si>
  <si>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</si>
  <si>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</si>
  <si>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</si>
  <si>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</si>
  <si>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</si>
  <si>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</si>
  <si>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</si>
  <si>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</si>
  <si>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</si>
  <si>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</si>
  <si>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</si>
  <si>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</si>
  <si>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</si>
  <si>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</si>
  <si>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</si>
  <si>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</si>
  <si>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</si>
  <si>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</si>
  <si>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</si>
  <si>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</si>
  <si>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</si>
  <si>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</si>
  <si>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</si>
  <si>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</si>
  <si>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</si>
  <si>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</si>
  <si>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</si>
  <si>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</si>
  <si>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</si>
  <si>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</si>
  <si>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</si>
  <si>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</si>
  <si>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</si>
  <si>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</si>
  <si>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</si>
  <si>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</si>
  <si>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</si>
  <si>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</si>
  <si>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</si>
  <si>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</si>
  <si>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</si>
  <si>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</si>
  <si>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</si>
  <si>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</si>
  <si>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</si>
  <si>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</si>
  <si>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</si>
  <si>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</si>
  <si>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</si>
  <si>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</si>
  <si>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</si>
  <si>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</si>
  <si>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</si>
  <si>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</si>
  <si>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</si>
  <si>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</si>
  <si>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voyage dans le temps</t>
  </si>
  <si>
    <t>psychopathe en vadrouille</t>
  </si>
  <si>
    <t>violence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</si>
  <si>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</si>
  <si>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</si>
  <si>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</si>
  <si>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</si>
  <si>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</si>
  <si>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</si>
  <si>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</si>
  <si>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</si>
  <si>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</si>
  <si>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</si>
  <si>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</si>
  <si>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</si>
  <si>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</si>
  <si>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</si>
  <si>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</si>
  <si>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</si>
  <si>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</si>
  <si>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</si>
  <si>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</si>
  <si>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</si>
  <si>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</si>
  <si>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</si>
  <si>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</si>
  <si>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</si>
  <si>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</si>
  <si>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</si>
  <si>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</si>
  <si>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</si>
  <si>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</si>
  <si>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</si>
  <si>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</si>
  <si>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</si>
  <si>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</si>
  <si>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</si>
  <si>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</si>
  <si>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</si>
  <si>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</si>
  <si>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</si>
  <si>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</si>
  <si>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</si>
  <si>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</si>
  <si>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</si>
  <si>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</si>
  <si>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</si>
  <si>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</si>
  <si>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</si>
  <si>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</si>
  <si>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</si>
  <si>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</si>
  <si>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</si>
  <si>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</si>
  <si>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</si>
  <si>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</si>
  <si>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mycanal</t>
  </si>
  <si>
    <t>ocs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</si>
  <si>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</si>
  <si>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</si>
  <si>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</si>
  <si>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</si>
  <si>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</si>
  <si>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</si>
  <si>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</si>
  <si>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</si>
  <si>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</si>
  <si>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</si>
  <si>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</si>
  <si>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</si>
  <si>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</si>
  <si>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</si>
  <si>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</si>
  <si>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</si>
  <si>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</si>
  <si>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</si>
  <si>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</si>
  <si>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</si>
  <si>
    <t>movie_viewing</t>
  </si>
  <si>
    <t>id_movie</t>
  </si>
  <si>
    <t>movie_disponiblity</t>
  </si>
  <si>
    <t>tv_show_disponibility</t>
  </si>
  <si>
    <t>first_name</t>
  </si>
  <si>
    <t>age</t>
  </si>
  <si>
    <t>nationality</t>
  </si>
  <si>
    <t>actor</t>
  </si>
  <si>
    <t>matthew</t>
  </si>
  <si>
    <t>mcconaughey</t>
  </si>
  <si>
    <t>américain</t>
  </si>
  <si>
    <t>leonardo</t>
  </si>
  <si>
    <t>di caprio</t>
  </si>
  <si>
    <t>bob</t>
  </si>
  <si>
    <t>odenkirk</t>
  </si>
  <si>
    <t>john david</t>
  </si>
  <si>
    <t>washington</t>
  </si>
  <si>
    <t>jack</t>
  </si>
  <si>
    <t>nicholson</t>
  </si>
  <si>
    <t>christian</t>
  </si>
  <si>
    <t>bale</t>
  </si>
  <si>
    <t>warren</t>
  </si>
  <si>
    <t>clarke</t>
  </si>
  <si>
    <t>de niro</t>
  </si>
  <si>
    <t>joe</t>
  </si>
  <si>
    <t>pesci</t>
  </si>
  <si>
    <t xml:space="preserve">matt </t>
  </si>
  <si>
    <t>damon</t>
  </si>
  <si>
    <t xml:space="preserve">johny </t>
  </si>
  <si>
    <t>depp</t>
  </si>
  <si>
    <t>bryan</t>
  </si>
  <si>
    <t>cranston</t>
  </si>
  <si>
    <t>damian</t>
  </si>
  <si>
    <t>lewis</t>
  </si>
  <si>
    <t>jared</t>
  </si>
  <si>
    <t>harris</t>
  </si>
  <si>
    <t>steve</t>
  </si>
  <si>
    <t>carell</t>
  </si>
  <si>
    <t>idris</t>
  </si>
  <si>
    <t>elba</t>
  </si>
  <si>
    <t>woody</t>
  </si>
  <si>
    <t>harrelson</t>
  </si>
  <si>
    <t>disney</t>
  </si>
  <si>
    <t>appletv</t>
  </si>
  <si>
    <t>hache porte</t>
  </si>
  <si>
    <t>stylo gorge</t>
  </si>
  <si>
    <t>histoire d un mec qui rêve</t>
  </si>
  <si>
    <t>play_in_movie</t>
  </si>
  <si>
    <t>id_actor</t>
  </si>
  <si>
    <t>play_in_tv_show</t>
  </si>
  <si>
    <t>james</t>
  </si>
  <si>
    <t>gandolfini</t>
  </si>
  <si>
    <t>emilia</t>
  </si>
  <si>
    <t>clark</t>
  </si>
  <si>
    <t>britannique</t>
  </si>
  <si>
    <t>justin</t>
  </si>
  <si>
    <t>roiland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</si>
</sst>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E7E6E6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21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165" fontId="0" fillId="0" borderId="2" xfId="0" applyNumberFormat="1" applyBorder="1"/>
    <xf numFmtId="0" fontId="1" fillId="4" borderId="2" xfId="0" applyFont="1" applyFill="1" applyBorder="1"/>
    <xf numFmtId="0" fontId="0" fillId="0" borderId="2" xfId="0" applyFill="1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49" fontId="0" fillId="0" borderId="2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workbookViewId="0">
      <selection activeCell="F6" sqref="F6"/>
    </sheetView>
  </sheetViews>
  <sheetFormatPr baseColWidth="10" defaultRowHeight="15" x14ac:dyDescent="0.25"/>
  <cols>
    <col min="3" max="3" width="15.85546875" customWidth="1"/>
    <col min="5" max="5" width="40.7109375" customWidth="1"/>
    <col min="6" max="6" width="14.42578125" customWidth="1"/>
    <col min="7" max="7" width="19.7109375" customWidth="1"/>
    <col min="8" max="8" width="15.42578125" customWidth="1"/>
  </cols>
  <sheetData>
    <row r="1" spans="1:9" ht="15" customHeight="1" x14ac:dyDescent="0.25">
      <c r="A1" s="25" t="s">
        <v>0</v>
      </c>
      <c r="B1" s="26"/>
      <c r="C1" s="26"/>
      <c r="D1" s="26"/>
      <c r="E1" s="26"/>
      <c r="F1" s="26"/>
      <c r="G1" s="26"/>
      <c r="H1" s="26"/>
      <c r="I1" s="27"/>
    </row>
    <row r="2" spans="1:9" ht="15" customHeight="1" x14ac:dyDescent="0.25">
      <c r="A2" s="28"/>
      <c r="B2" s="29"/>
      <c r="C2" s="29"/>
      <c r="D2" s="29"/>
      <c r="E2" s="29"/>
      <c r="F2" s="29"/>
      <c r="G2" s="29"/>
      <c r="H2" s="29"/>
      <c r="I2" s="30"/>
    </row>
    <row r="3" spans="1:9" ht="15.75" customHeight="1" x14ac:dyDescent="0.25">
      <c r="A3" s="28"/>
      <c r="B3" s="29"/>
      <c r="C3" s="29"/>
      <c r="D3" s="29"/>
      <c r="E3" s="29"/>
      <c r="F3" s="29"/>
      <c r="G3" s="29"/>
      <c r="H3" s="29"/>
      <c r="I3" s="30"/>
    </row>
    <row r="4" spans="1:9" x14ac:dyDescent="0.25">
      <c r="A4" s="20" t="s">
        <v>76</v>
      </c>
      <c r="B4" s="1" t="s">
        <v>1</v>
      </c>
      <c r="C4" s="1" t="s">
        <v>2</v>
      </c>
      <c r="D4" s="1" t="s">
        <v>3</v>
      </c>
      <c r="E4" s="1" t="s">
        <v>1</v>
      </c>
      <c r="F4" s="1" t="s">
        <v>4</v>
      </c>
      <c r="G4" s="1" t="s">
        <v>5</v>
      </c>
      <c r="H4" s="1" t="s">
        <v>6</v>
      </c>
      <c r="I4" s="21" t="s">
        <v>7</v>
      </c>
    </row>
    <row r="5" spans="1:9" x14ac:dyDescent="0.25">
      <c r="A5" s="18">
        <v>1</v>
      </c>
      <c r="B5" s="57" t="s">
        <v>8</v>
      </c>
      <c r="C5" s="57" t="s">
        <v>25</v>
      </c>
      <c r="D5" s="57" t="s">
        <v>39</v>
      </c>
      <c r="E5" s="18" t="s">
        <v>41</v>
      </c>
      <c r="F5" s="22">
        <f ca="1">DATE(RANDBETWEEN(1995,2004),RANDBETWEEN(1,12),RANDBETWEEN(1,31))</f>
        <v>35024</v>
      </c>
      <c r="G5" s="18" t="s">
        <v>58</v>
      </c>
      <c r="H5" s="18" t="str">
        <f ca="1">CHAR(RAND()*26+65)&amp;CHAR(RAND()*26+65)&amp;CHAR(RAND()*26+65)&amp;CHAR(RAND()*10+48)&amp;CHAR(RAND()*10+48)&amp;CHAR(RAND()*26+97)&amp;CHAR(RAND()*26+97)&amp;CHAR(RAND()*26+97)</f>
        <v>IFO67szg</v>
      </c>
      <c r="I5" s="18" t="s">
        <v>75</v>
      </c>
    </row>
    <row r="6" spans="1:9" x14ac:dyDescent="0.25">
      <c r="A6" s="18">
        <v>2</v>
      </c>
      <c r="B6" s="57" t="s">
        <v>9</v>
      </c>
      <c r="C6" s="57" t="s">
        <v>26</v>
      </c>
      <c r="D6" s="57" t="s">
        <v>39</v>
      </c>
      <c r="E6" s="18" t="s">
        <v>42</v>
      </c>
      <c r="F6" s="22">
        <f t="shared" ref="F6:F10" ca="1" si="0">DATE(RANDBETWEEN(1995,2004),RANDBETWEEN(1,12),RANDBETWEEN(1,31))</f>
        <v>37323</v>
      </c>
      <c r="G6" s="18" t="s">
        <v>59</v>
      </c>
      <c r="H6" s="18" t="str">
        <f t="shared" ref="H6:H21" ca="1" si="1">CHAR(RAND()*26+65)&amp;CHAR(RAND()*26+65)&amp;CHAR(RAND()*26+65)&amp;CHAR(RAND()*10+48)&amp;CHAR(RAND()*10+48)&amp;CHAR(RAND()*26+97)&amp;CHAR(RAND()*26+97)&amp;CHAR(RAND()*26+97)</f>
        <v>NPO78xkj</v>
      </c>
      <c r="I6" s="18" t="s">
        <v>75</v>
      </c>
    </row>
    <row r="7" spans="1:9" x14ac:dyDescent="0.25">
      <c r="A7" s="18">
        <v>3</v>
      </c>
      <c r="B7" s="57" t="s">
        <v>10</v>
      </c>
      <c r="C7" s="57" t="s">
        <v>27</v>
      </c>
      <c r="D7" s="57" t="s">
        <v>39</v>
      </c>
      <c r="E7" s="18" t="s">
        <v>43</v>
      </c>
      <c r="F7" s="22">
        <f t="shared" ca="1" si="0"/>
        <v>37333</v>
      </c>
      <c r="G7" s="18" t="s">
        <v>60</v>
      </c>
      <c r="H7" s="18" t="str">
        <f t="shared" ca="1" si="1"/>
        <v>XRO66wty</v>
      </c>
      <c r="I7" s="18" t="s">
        <v>75</v>
      </c>
    </row>
    <row r="8" spans="1:9" x14ac:dyDescent="0.25">
      <c r="A8" s="18">
        <v>4</v>
      </c>
      <c r="B8" s="57" t="s">
        <v>11</v>
      </c>
      <c r="C8" s="57" t="s">
        <v>28</v>
      </c>
      <c r="D8" s="57" t="s">
        <v>39</v>
      </c>
      <c r="E8" s="18" t="s">
        <v>44</v>
      </c>
      <c r="F8" s="22">
        <f t="shared" ca="1" si="0"/>
        <v>35361</v>
      </c>
      <c r="G8" s="18" t="s">
        <v>61</v>
      </c>
      <c r="H8" s="18" t="str">
        <f t="shared" ca="1" si="1"/>
        <v>IXC78iww</v>
      </c>
      <c r="I8" s="18" t="s">
        <v>75</v>
      </c>
    </row>
    <row r="9" spans="1:9" x14ac:dyDescent="0.25">
      <c r="A9" s="18">
        <v>5</v>
      </c>
      <c r="B9" s="57" t="s">
        <v>12</v>
      </c>
      <c r="C9" s="57" t="s">
        <v>29</v>
      </c>
      <c r="D9" s="57" t="s">
        <v>40</v>
      </c>
      <c r="E9" s="18" t="s">
        <v>45</v>
      </c>
      <c r="F9" s="22">
        <f t="shared" ca="1" si="0"/>
        <v>36745</v>
      </c>
      <c r="G9" s="18" t="s">
        <v>62</v>
      </c>
      <c r="H9" s="18" t="str">
        <f t="shared" ca="1" si="1"/>
        <v>LVT79zfl</v>
      </c>
      <c r="I9" s="18" t="s">
        <v>75</v>
      </c>
    </row>
    <row r="10" spans="1:9" x14ac:dyDescent="0.25">
      <c r="A10" s="18">
        <v>6</v>
      </c>
      <c r="B10" s="57" t="s">
        <v>13</v>
      </c>
      <c r="C10" s="57" t="s">
        <v>31</v>
      </c>
      <c r="D10" s="57" t="s">
        <v>39</v>
      </c>
      <c r="E10" s="18" t="s">
        <v>46</v>
      </c>
      <c r="F10" s="22">
        <f t="shared" ca="1" si="0"/>
        <v>36345</v>
      </c>
      <c r="G10" s="18" t="s">
        <v>63</v>
      </c>
      <c r="H10" s="18" t="str">
        <f t="shared" ca="1" si="1"/>
        <v>YHT05hwp</v>
      </c>
      <c r="I10" s="18" t="s">
        <v>75</v>
      </c>
    </row>
    <row r="11" spans="1:9" x14ac:dyDescent="0.25">
      <c r="A11" s="18">
        <v>7</v>
      </c>
      <c r="B11" s="57" t="s">
        <v>14</v>
      </c>
      <c r="C11" s="57" t="s">
        <v>30</v>
      </c>
      <c r="D11" s="57" t="s">
        <v>39</v>
      </c>
      <c r="E11" s="18" t="s">
        <v>47</v>
      </c>
      <c r="F11" s="22">
        <f ca="1">DATE(RANDBETWEEN(1995,2004),RANDBETWEEN(1,12),RANDBETWEEN(1,31))</f>
        <v>37996</v>
      </c>
      <c r="G11" s="18" t="s">
        <v>64</v>
      </c>
      <c r="H11" s="18" t="str">
        <f t="shared" ca="1" si="1"/>
        <v>XFI61lse</v>
      </c>
      <c r="I11" s="18" t="s">
        <v>75</v>
      </c>
    </row>
    <row r="12" spans="1:9" x14ac:dyDescent="0.25">
      <c r="A12" s="18">
        <v>8</v>
      </c>
      <c r="B12" s="57" t="s">
        <v>15</v>
      </c>
      <c r="C12" s="57" t="s">
        <v>32</v>
      </c>
      <c r="D12" s="57" t="s">
        <v>39</v>
      </c>
      <c r="E12" s="18" t="s">
        <v>48</v>
      </c>
      <c r="F12" s="22">
        <f t="shared" ref="F12:F21" ca="1" si="2">DATE(RANDBETWEEN(1995,2004),RANDBETWEEN(1,12),RANDBETWEEN(1,31))</f>
        <v>35583</v>
      </c>
      <c r="G12" s="18" t="s">
        <v>65</v>
      </c>
      <c r="H12" s="18" t="str">
        <f t="shared" ca="1" si="1"/>
        <v>JUJ66vcm</v>
      </c>
      <c r="I12" s="18" t="s">
        <v>75</v>
      </c>
    </row>
    <row r="13" spans="1:9" x14ac:dyDescent="0.25">
      <c r="A13" s="18">
        <v>9</v>
      </c>
      <c r="B13" s="57" t="s">
        <v>16</v>
      </c>
      <c r="C13" s="57" t="s">
        <v>33</v>
      </c>
      <c r="D13" s="57" t="s">
        <v>39</v>
      </c>
      <c r="E13" s="18" t="s">
        <v>49</v>
      </c>
      <c r="F13" s="22">
        <f t="shared" ca="1" si="2"/>
        <v>37414</v>
      </c>
      <c r="G13" s="18" t="s">
        <v>66</v>
      </c>
      <c r="H13" s="18" t="str">
        <f t="shared" ca="1" si="1"/>
        <v>PER86kwj</v>
      </c>
      <c r="I13" s="18" t="s">
        <v>75</v>
      </c>
    </row>
    <row r="14" spans="1:9" x14ac:dyDescent="0.25">
      <c r="A14" s="18">
        <v>10</v>
      </c>
      <c r="B14" s="57" t="s">
        <v>17</v>
      </c>
      <c r="C14" s="57" t="s">
        <v>32</v>
      </c>
      <c r="D14" s="57" t="s">
        <v>39</v>
      </c>
      <c r="E14" s="18" t="s">
        <v>50</v>
      </c>
      <c r="F14" s="22">
        <f t="shared" ca="1" si="2"/>
        <v>37197</v>
      </c>
      <c r="G14" s="18" t="s">
        <v>67</v>
      </c>
      <c r="H14" s="18" t="str">
        <f t="shared" ca="1" si="1"/>
        <v>OIT35swp</v>
      </c>
      <c r="I14" s="18" t="s">
        <v>75</v>
      </c>
    </row>
    <row r="15" spans="1:9" x14ac:dyDescent="0.25">
      <c r="A15" s="18">
        <v>11</v>
      </c>
      <c r="B15" s="57" t="s">
        <v>18</v>
      </c>
      <c r="C15" s="57" t="s">
        <v>34</v>
      </c>
      <c r="D15" s="57" t="s">
        <v>40</v>
      </c>
      <c r="E15" s="18" t="s">
        <v>51</v>
      </c>
      <c r="F15" s="22">
        <f t="shared" ca="1" si="2"/>
        <v>35204</v>
      </c>
      <c r="G15" s="18" t="s">
        <v>68</v>
      </c>
      <c r="H15" s="18" t="str">
        <f t="shared" ca="1" si="1"/>
        <v>MDY68coj</v>
      </c>
      <c r="I15" s="18" t="s">
        <v>75</v>
      </c>
    </row>
    <row r="16" spans="1:9" x14ac:dyDescent="0.25">
      <c r="A16" s="18">
        <v>12</v>
      </c>
      <c r="B16" s="57" t="s">
        <v>19</v>
      </c>
      <c r="C16" s="57" t="s">
        <v>26</v>
      </c>
      <c r="D16" s="57" t="s">
        <v>39</v>
      </c>
      <c r="E16" s="18" t="s">
        <v>52</v>
      </c>
      <c r="F16" s="22">
        <f t="shared" ca="1" si="2"/>
        <v>37180</v>
      </c>
      <c r="G16" s="18" t="s">
        <v>69</v>
      </c>
      <c r="H16" s="18" t="str">
        <f t="shared" ca="1" si="1"/>
        <v>CTQ88sgx</v>
      </c>
      <c r="I16" s="18" t="s">
        <v>75</v>
      </c>
    </row>
    <row r="17" spans="1:9" x14ac:dyDescent="0.25">
      <c r="A17" s="18">
        <v>13</v>
      </c>
      <c r="B17" s="57" t="s">
        <v>20</v>
      </c>
      <c r="C17" s="57" t="s">
        <v>35</v>
      </c>
      <c r="D17" s="57" t="s">
        <v>39</v>
      </c>
      <c r="E17" s="18" t="s">
        <v>53</v>
      </c>
      <c r="F17" s="22">
        <f t="shared" ca="1" si="2"/>
        <v>35935</v>
      </c>
      <c r="G17" s="18" t="s">
        <v>70</v>
      </c>
      <c r="H17" s="18" t="str">
        <f t="shared" ca="1" si="1"/>
        <v>OWK62uhd</v>
      </c>
      <c r="I17" s="18" t="s">
        <v>75</v>
      </c>
    </row>
    <row r="18" spans="1:9" x14ac:dyDescent="0.25">
      <c r="A18" s="18">
        <v>14</v>
      </c>
      <c r="B18" s="57" t="s">
        <v>21</v>
      </c>
      <c r="C18" s="57" t="s">
        <v>36</v>
      </c>
      <c r="D18" s="57" t="s">
        <v>39</v>
      </c>
      <c r="E18" s="18" t="s">
        <v>54</v>
      </c>
      <c r="F18" s="22">
        <f t="shared" ca="1" si="2"/>
        <v>38025</v>
      </c>
      <c r="G18" s="18" t="s">
        <v>71</v>
      </c>
      <c r="H18" s="18" t="str">
        <f t="shared" ca="1" si="1"/>
        <v>ZZK79abh</v>
      </c>
      <c r="I18" s="18" t="s">
        <v>75</v>
      </c>
    </row>
    <row r="19" spans="1:9" x14ac:dyDescent="0.25">
      <c r="A19" s="18">
        <v>15</v>
      </c>
      <c r="B19" s="57" t="s">
        <v>22</v>
      </c>
      <c r="C19" s="57" t="s">
        <v>30</v>
      </c>
      <c r="D19" s="57" t="s">
        <v>39</v>
      </c>
      <c r="E19" s="18" t="s">
        <v>55</v>
      </c>
      <c r="F19" s="22">
        <f t="shared" ca="1" si="2"/>
        <v>37128</v>
      </c>
      <c r="G19" s="18" t="s">
        <v>72</v>
      </c>
      <c r="H19" s="18" t="str">
        <f t="shared" ca="1" si="1"/>
        <v>YVD24bxf</v>
      </c>
      <c r="I19" s="18" t="s">
        <v>75</v>
      </c>
    </row>
    <row r="20" spans="1:9" x14ac:dyDescent="0.25">
      <c r="A20" s="18">
        <v>16</v>
      </c>
      <c r="B20" s="57" t="s">
        <v>23</v>
      </c>
      <c r="C20" s="57" t="s">
        <v>37</v>
      </c>
      <c r="D20" s="57" t="s">
        <v>39</v>
      </c>
      <c r="E20" s="18" t="s">
        <v>56</v>
      </c>
      <c r="F20" s="22">
        <f t="shared" ca="1" si="2"/>
        <v>36905</v>
      </c>
      <c r="G20" s="18" t="s">
        <v>73</v>
      </c>
      <c r="H20" s="18" t="str">
        <f t="shared" ca="1" si="1"/>
        <v>EON55fjx</v>
      </c>
      <c r="I20" s="18" t="s">
        <v>75</v>
      </c>
    </row>
    <row r="21" spans="1:9" x14ac:dyDescent="0.25">
      <c r="A21" s="18">
        <v>17</v>
      </c>
      <c r="B21" s="57" t="s">
        <v>24</v>
      </c>
      <c r="C21" s="57" t="s">
        <v>38</v>
      </c>
      <c r="D21" s="57" t="s">
        <v>39</v>
      </c>
      <c r="E21" s="18" t="s">
        <v>57</v>
      </c>
      <c r="F21" s="22">
        <f t="shared" ca="1" si="2"/>
        <v>37751</v>
      </c>
      <c r="G21" s="18" t="s">
        <v>74</v>
      </c>
      <c r="H21" s="18" t="str">
        <f t="shared" ca="1" si="1"/>
        <v>QKI90nnr</v>
      </c>
      <c r="I21" s="18" t="s">
        <v>75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sheetPr codeName="Feuil2"/>
  <dimension ref="A1:G14"/>
  <sheetViews>
    <sheetView workbookViewId="0">
      <selection activeCell="G21" sqref="G21"/>
    </sheetView>
  </sheetViews>
  <sheetFormatPr baseColWidth="10" defaultRowHeight="15" x14ac:dyDescent="0.25"/>
  <cols>
    <col min="2" max="2" width="18.28515625" customWidth="1"/>
    <col min="4" max="4" width="18.7109375" customWidth="1"/>
    <col min="5" max="5" width="21" customWidth="1"/>
    <col min="6" max="6" width="24.42578125" customWidth="1"/>
  </cols>
  <sheetData>
    <row r="1" spans="1:7" ht="15" customHeight="1" x14ac:dyDescent="0.25">
      <c r="A1" s="25" t="s">
        <v>78</v>
      </c>
      <c r="B1" s="26"/>
      <c r="C1" s="26"/>
      <c r="D1" s="26"/>
      <c r="E1" s="26"/>
      <c r="F1" s="26"/>
      <c r="G1" s="27"/>
    </row>
    <row r="2" spans="1:7" ht="15" customHeight="1" x14ac:dyDescent="0.25">
      <c r="A2" s="28"/>
      <c r="B2" s="29"/>
      <c r="C2" s="29"/>
      <c r="D2" s="29"/>
      <c r="E2" s="29"/>
      <c r="F2" s="29"/>
      <c r="G2" s="30"/>
    </row>
    <row r="3" spans="1:7" x14ac:dyDescent="0.25">
      <c r="A3" s="31"/>
      <c r="B3" s="32"/>
      <c r="C3" s="32"/>
      <c r="D3" s="32"/>
      <c r="E3" s="32"/>
      <c r="F3" s="32"/>
      <c r="G3" s="33"/>
    </row>
    <row r="4" spans="1:7" x14ac:dyDescent="0.25">
      <c r="A4" s="12" t="s">
        <v>76</v>
      </c>
      <c r="B4" s="2" t="s">
        <v>77</v>
      </c>
      <c r="C4" s="2" t="s">
        <v>79</v>
      </c>
      <c r="D4" s="2" t="s">
        <v>80</v>
      </c>
      <c r="E4" s="2" t="s">
        <v>81</v>
      </c>
      <c r="F4" s="2" t="s">
        <v>82</v>
      </c>
      <c r="G4" s="13" t="s">
        <v>83</v>
      </c>
    </row>
    <row r="5" spans="1:7" x14ac:dyDescent="0.25">
      <c r="A5" s="11">
        <v>1</v>
      </c>
      <c r="B5" s="11" t="s">
        <v>84</v>
      </c>
      <c r="C5" s="14">
        <v>0.1173611111111111</v>
      </c>
      <c r="D5" s="11" t="s">
        <v>94</v>
      </c>
      <c r="E5" s="11" t="s">
        <v>95</v>
      </c>
      <c r="F5" s="11" t="s">
        <v>106</v>
      </c>
      <c r="G5" s="11" t="s">
        <v>113</v>
      </c>
    </row>
    <row r="6" spans="1:7" x14ac:dyDescent="0.25">
      <c r="A6" s="11">
        <v>2</v>
      </c>
      <c r="B6" s="11" t="s">
        <v>85</v>
      </c>
      <c r="C6" s="14">
        <v>0.10277777777777779</v>
      </c>
      <c r="D6" s="11" t="s">
        <v>94</v>
      </c>
      <c r="E6" s="11" t="s">
        <v>95</v>
      </c>
      <c r="F6" s="11" t="s">
        <v>231</v>
      </c>
      <c r="G6" s="11" t="s">
        <v>113</v>
      </c>
    </row>
    <row r="7" spans="1:7" x14ac:dyDescent="0.25">
      <c r="A7" s="11">
        <v>3</v>
      </c>
      <c r="B7" s="11" t="s">
        <v>86</v>
      </c>
      <c r="C7" s="14">
        <v>0.10416666666666667</v>
      </c>
      <c r="D7" s="11" t="s">
        <v>94</v>
      </c>
      <c r="E7" s="11" t="s">
        <v>95</v>
      </c>
      <c r="F7" s="11" t="s">
        <v>107</v>
      </c>
      <c r="G7" s="11" t="s">
        <v>113</v>
      </c>
    </row>
    <row r="8" spans="1:7" x14ac:dyDescent="0.25">
      <c r="A8" s="11">
        <v>4</v>
      </c>
      <c r="B8" s="11" t="s">
        <v>87</v>
      </c>
      <c r="C8" s="14">
        <v>7.013888888888889E-2</v>
      </c>
      <c r="D8" s="11" t="s">
        <v>96</v>
      </c>
      <c r="E8" s="11" t="s">
        <v>97</v>
      </c>
      <c r="F8" s="11" t="s">
        <v>108</v>
      </c>
      <c r="G8" s="19" t="s">
        <v>114</v>
      </c>
    </row>
    <row r="9" spans="1:7" x14ac:dyDescent="0.25">
      <c r="A9" s="11">
        <v>5</v>
      </c>
      <c r="B9" s="11" t="s">
        <v>88</v>
      </c>
      <c r="C9" s="14">
        <v>8.2638888888888887E-2</v>
      </c>
      <c r="D9" s="11" t="s">
        <v>98</v>
      </c>
      <c r="E9" s="11" t="s">
        <v>99</v>
      </c>
      <c r="F9" s="11" t="s">
        <v>229</v>
      </c>
      <c r="G9" s="19" t="s">
        <v>115</v>
      </c>
    </row>
    <row r="10" spans="1:7" x14ac:dyDescent="0.25">
      <c r="A10" s="11">
        <v>6</v>
      </c>
      <c r="B10" s="11" t="s">
        <v>89</v>
      </c>
      <c r="C10" s="14">
        <v>9.4444444444444442E-2</v>
      </c>
      <c r="D10" s="11" t="s">
        <v>98</v>
      </c>
      <c r="E10" s="11" t="s">
        <v>99</v>
      </c>
      <c r="F10" s="11" t="s">
        <v>109</v>
      </c>
      <c r="G10" s="19" t="s">
        <v>114</v>
      </c>
    </row>
    <row r="11" spans="1:7" x14ac:dyDescent="0.25">
      <c r="A11" s="11">
        <v>7</v>
      </c>
      <c r="B11" s="11" t="s">
        <v>90</v>
      </c>
      <c r="C11" s="14">
        <v>0.1013888888888889</v>
      </c>
      <c r="D11" s="11" t="s">
        <v>100</v>
      </c>
      <c r="E11" s="11" t="s">
        <v>101</v>
      </c>
      <c r="F11" s="11" t="s">
        <v>110</v>
      </c>
      <c r="G11" s="19" t="s">
        <v>116</v>
      </c>
    </row>
    <row r="12" spans="1:7" x14ac:dyDescent="0.25">
      <c r="A12" s="11">
        <v>8</v>
      </c>
      <c r="B12" s="11" t="s">
        <v>91</v>
      </c>
      <c r="C12" s="14">
        <v>0.12361111111111112</v>
      </c>
      <c r="D12" s="11" t="s">
        <v>100</v>
      </c>
      <c r="E12" s="11" t="s">
        <v>101</v>
      </c>
      <c r="F12" s="11" t="s">
        <v>230</v>
      </c>
      <c r="G12" s="19" t="s">
        <v>116</v>
      </c>
    </row>
    <row r="13" spans="1:7" x14ac:dyDescent="0.25">
      <c r="A13" s="11">
        <v>9</v>
      </c>
      <c r="B13" s="11" t="s">
        <v>92</v>
      </c>
      <c r="C13" s="14">
        <v>9.7916666666666666E-2</v>
      </c>
      <c r="D13" s="11" t="s">
        <v>102</v>
      </c>
      <c r="E13" s="11" t="s">
        <v>103</v>
      </c>
      <c r="F13" s="11" t="s">
        <v>111</v>
      </c>
      <c r="G13" s="19" t="s">
        <v>113</v>
      </c>
    </row>
    <row r="14" spans="1:7" x14ac:dyDescent="0.25">
      <c r="A14" s="11">
        <v>10</v>
      </c>
      <c r="B14" s="11" t="s">
        <v>93</v>
      </c>
      <c r="C14" s="14">
        <v>8.2638888888888887E-2</v>
      </c>
      <c r="D14" s="11" t="s">
        <v>104</v>
      </c>
      <c r="E14" s="11" t="s">
        <v>105</v>
      </c>
      <c r="F14" s="11" t="s">
        <v>112</v>
      </c>
      <c r="G14" s="19" t="s">
        <v>113</v>
      </c>
    </row>
  </sheetData>
  <mergeCells count="1">
    <mergeCell ref="A1:G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1367F-A60A-F140-8360-639B1B3FC819}">
  <sheetPr codeName="Feuil7"/>
  <dimension ref="A1:F24"/>
  <sheetViews>
    <sheetView workbookViewId="0">
      <selection activeCell="H10" sqref="H10"/>
    </sheetView>
  </sheetViews>
  <sheetFormatPr baseColWidth="10" defaultRowHeight="15" x14ac:dyDescent="0.25"/>
  <cols>
    <col min="3" max="3" width="12.7109375" customWidth="1"/>
  </cols>
  <sheetData>
    <row r="1" spans="1:6" x14ac:dyDescent="0.25">
      <c r="A1" s="34" t="s">
        <v>192</v>
      </c>
      <c r="B1" s="35"/>
      <c r="C1" s="35"/>
      <c r="D1" s="35"/>
      <c r="E1" s="35"/>
      <c r="F1" s="36"/>
    </row>
    <row r="2" spans="1:6" x14ac:dyDescent="0.25">
      <c r="A2" s="37"/>
      <c r="B2" s="38"/>
      <c r="C2" s="38"/>
      <c r="D2" s="38"/>
      <c r="E2" s="38"/>
      <c r="F2" s="39"/>
    </row>
    <row r="3" spans="1:6" x14ac:dyDescent="0.25">
      <c r="A3" s="40"/>
      <c r="B3" s="41"/>
      <c r="C3" s="41"/>
      <c r="D3" s="41"/>
      <c r="E3" s="41"/>
      <c r="F3" s="42"/>
    </row>
    <row r="4" spans="1:6" x14ac:dyDescent="0.25">
      <c r="A4" s="16" t="s">
        <v>76</v>
      </c>
      <c r="B4" s="3" t="s">
        <v>77</v>
      </c>
      <c r="C4" s="3" t="s">
        <v>189</v>
      </c>
      <c r="D4" s="3" t="s">
        <v>190</v>
      </c>
      <c r="E4" s="3" t="s">
        <v>3</v>
      </c>
      <c r="F4" s="17" t="s">
        <v>191</v>
      </c>
    </row>
    <row r="5" spans="1:6" x14ac:dyDescent="0.25">
      <c r="A5" s="18">
        <v>1</v>
      </c>
      <c r="B5" s="18" t="s">
        <v>193</v>
      </c>
      <c r="C5" s="18" t="s">
        <v>194</v>
      </c>
      <c r="D5" s="18">
        <v>52</v>
      </c>
      <c r="E5" s="18" t="s">
        <v>39</v>
      </c>
      <c r="F5" s="18" t="s">
        <v>195</v>
      </c>
    </row>
    <row r="6" spans="1:6" x14ac:dyDescent="0.25">
      <c r="A6" s="18">
        <v>2</v>
      </c>
      <c r="B6" s="18" t="s">
        <v>196</v>
      </c>
      <c r="C6" s="18" t="s">
        <v>197</v>
      </c>
      <c r="D6" s="18">
        <v>47</v>
      </c>
      <c r="E6" s="18" t="s">
        <v>39</v>
      </c>
      <c r="F6" s="18" t="s">
        <v>195</v>
      </c>
    </row>
    <row r="7" spans="1:6" x14ac:dyDescent="0.25">
      <c r="A7" s="18">
        <v>3</v>
      </c>
      <c r="B7" s="18" t="s">
        <v>198</v>
      </c>
      <c r="C7" s="18" t="s">
        <v>199</v>
      </c>
      <c r="D7" s="18">
        <v>59</v>
      </c>
      <c r="E7" s="18" t="s">
        <v>39</v>
      </c>
      <c r="F7" s="18" t="s">
        <v>195</v>
      </c>
    </row>
    <row r="8" spans="1:6" x14ac:dyDescent="0.25">
      <c r="A8" s="18">
        <v>4</v>
      </c>
      <c r="B8" s="18" t="s">
        <v>200</v>
      </c>
      <c r="C8" s="18" t="s">
        <v>201</v>
      </c>
      <c r="D8" s="18">
        <v>38</v>
      </c>
      <c r="E8" s="18" t="s">
        <v>39</v>
      </c>
      <c r="F8" s="18" t="s">
        <v>195</v>
      </c>
    </row>
    <row r="9" spans="1:6" x14ac:dyDescent="0.25">
      <c r="A9" s="18">
        <v>5</v>
      </c>
      <c r="B9" s="18" t="s">
        <v>202</v>
      </c>
      <c r="C9" s="18" t="s">
        <v>203</v>
      </c>
      <c r="D9" s="18">
        <v>85</v>
      </c>
      <c r="E9" s="18" t="s">
        <v>39</v>
      </c>
      <c r="F9" s="18" t="s">
        <v>195</v>
      </c>
    </row>
    <row r="10" spans="1:6" x14ac:dyDescent="0.25">
      <c r="A10" s="18">
        <v>6</v>
      </c>
      <c r="B10" s="18" t="s">
        <v>204</v>
      </c>
      <c r="C10" s="18" t="s">
        <v>205</v>
      </c>
      <c r="D10" s="18">
        <v>48</v>
      </c>
      <c r="E10" s="18" t="s">
        <v>39</v>
      </c>
      <c r="F10" s="18" t="s">
        <v>195</v>
      </c>
    </row>
    <row r="11" spans="1:6" x14ac:dyDescent="0.25">
      <c r="A11" s="18">
        <v>7</v>
      </c>
      <c r="B11" s="18" t="s">
        <v>206</v>
      </c>
      <c r="C11" s="18" t="s">
        <v>207</v>
      </c>
      <c r="D11" s="18">
        <v>88</v>
      </c>
      <c r="E11" s="18" t="s">
        <v>39</v>
      </c>
      <c r="F11" s="18" t="s">
        <v>195</v>
      </c>
    </row>
    <row r="12" spans="1:6" x14ac:dyDescent="0.25">
      <c r="A12" s="18">
        <v>8</v>
      </c>
      <c r="B12" s="18" t="s">
        <v>24</v>
      </c>
      <c r="C12" s="18" t="s">
        <v>208</v>
      </c>
      <c r="D12" s="18">
        <v>79</v>
      </c>
      <c r="E12" s="18" t="s">
        <v>39</v>
      </c>
      <c r="F12" s="18" t="s">
        <v>195</v>
      </c>
    </row>
    <row r="13" spans="1:6" x14ac:dyDescent="0.25">
      <c r="A13" s="18">
        <v>9</v>
      </c>
      <c r="B13" s="18" t="s">
        <v>209</v>
      </c>
      <c r="C13" s="18" t="s">
        <v>210</v>
      </c>
      <c r="D13" s="18">
        <v>79</v>
      </c>
      <c r="E13" s="18" t="s">
        <v>39</v>
      </c>
      <c r="F13" s="18" t="s">
        <v>195</v>
      </c>
    </row>
    <row r="14" spans="1:6" x14ac:dyDescent="0.25">
      <c r="A14" s="18">
        <v>10</v>
      </c>
      <c r="B14" s="18" t="s">
        <v>211</v>
      </c>
      <c r="C14" s="18" t="s">
        <v>212</v>
      </c>
      <c r="D14" s="18">
        <v>51</v>
      </c>
      <c r="E14" s="18" t="s">
        <v>39</v>
      </c>
      <c r="F14" s="18" t="s">
        <v>195</v>
      </c>
    </row>
    <row r="15" spans="1:6" x14ac:dyDescent="0.25">
      <c r="A15" s="18">
        <v>11</v>
      </c>
      <c r="B15" s="18" t="s">
        <v>213</v>
      </c>
      <c r="C15" s="18" t="s">
        <v>214</v>
      </c>
      <c r="D15" s="18">
        <v>59</v>
      </c>
      <c r="E15" s="18" t="s">
        <v>39</v>
      </c>
      <c r="F15" s="18" t="s">
        <v>195</v>
      </c>
    </row>
    <row r="16" spans="1:6" x14ac:dyDescent="0.25">
      <c r="A16" s="18">
        <v>12</v>
      </c>
      <c r="B16" s="18" t="s">
        <v>215</v>
      </c>
      <c r="C16" s="18" t="s">
        <v>216</v>
      </c>
      <c r="D16" s="18">
        <v>66</v>
      </c>
      <c r="E16" s="18" t="s">
        <v>39</v>
      </c>
      <c r="F16" s="18" t="s">
        <v>195</v>
      </c>
    </row>
    <row r="17" spans="1:6" x14ac:dyDescent="0.25">
      <c r="A17" s="18">
        <v>13</v>
      </c>
      <c r="B17" s="18" t="s">
        <v>217</v>
      </c>
      <c r="C17" s="18" t="s">
        <v>218</v>
      </c>
      <c r="D17" s="18">
        <v>51</v>
      </c>
      <c r="E17" s="18" t="s">
        <v>39</v>
      </c>
      <c r="F17" s="18" t="s">
        <v>195</v>
      </c>
    </row>
    <row r="18" spans="1:6" x14ac:dyDescent="0.25">
      <c r="A18" s="18">
        <v>14</v>
      </c>
      <c r="B18" s="18" t="s">
        <v>219</v>
      </c>
      <c r="C18" s="18" t="s">
        <v>220</v>
      </c>
      <c r="D18" s="18">
        <v>61</v>
      </c>
      <c r="E18" s="18" t="s">
        <v>39</v>
      </c>
      <c r="F18" s="18" t="s">
        <v>195</v>
      </c>
    </row>
    <row r="19" spans="1:6" x14ac:dyDescent="0.25">
      <c r="A19" s="18">
        <v>15</v>
      </c>
      <c r="B19" s="18" t="s">
        <v>221</v>
      </c>
      <c r="C19" s="18" t="s">
        <v>222</v>
      </c>
      <c r="D19" s="18">
        <v>60</v>
      </c>
      <c r="E19" s="18" t="s">
        <v>39</v>
      </c>
      <c r="F19" s="18" t="s">
        <v>195</v>
      </c>
    </row>
    <row r="20" spans="1:6" x14ac:dyDescent="0.25">
      <c r="A20" s="18">
        <v>16</v>
      </c>
      <c r="B20" s="18" t="s">
        <v>223</v>
      </c>
      <c r="C20" s="18" t="s">
        <v>224</v>
      </c>
      <c r="D20" s="18">
        <v>50</v>
      </c>
      <c r="E20" s="18" t="s">
        <v>39</v>
      </c>
      <c r="F20" s="18" t="s">
        <v>195</v>
      </c>
    </row>
    <row r="21" spans="1:6" x14ac:dyDescent="0.25">
      <c r="A21" s="18">
        <v>17</v>
      </c>
      <c r="B21" s="18" t="s">
        <v>225</v>
      </c>
      <c r="C21" s="18" t="s">
        <v>226</v>
      </c>
      <c r="D21" s="18">
        <v>61</v>
      </c>
      <c r="E21" s="18" t="s">
        <v>39</v>
      </c>
      <c r="F21" s="18" t="s">
        <v>195</v>
      </c>
    </row>
    <row r="22" spans="1:6" x14ac:dyDescent="0.25">
      <c r="A22" s="24">
        <v>18</v>
      </c>
      <c r="B22" s="24" t="s">
        <v>235</v>
      </c>
      <c r="C22" s="24" t="s">
        <v>236</v>
      </c>
      <c r="D22" s="24">
        <v>51</v>
      </c>
      <c r="E22" s="24" t="s">
        <v>39</v>
      </c>
      <c r="F22" s="24" t="s">
        <v>195</v>
      </c>
    </row>
    <row r="23" spans="1:6" x14ac:dyDescent="0.25">
      <c r="A23" s="24">
        <v>19</v>
      </c>
      <c r="B23" s="24" t="s">
        <v>237</v>
      </c>
      <c r="C23" s="24" t="s">
        <v>238</v>
      </c>
      <c r="D23" s="24">
        <v>35</v>
      </c>
      <c r="E23" s="24" t="s">
        <v>39</v>
      </c>
      <c r="F23" s="24" t="s">
        <v>239</v>
      </c>
    </row>
    <row r="24" spans="1:6" x14ac:dyDescent="0.25">
      <c r="A24" s="24">
        <v>20</v>
      </c>
      <c r="B24" s="24" t="s">
        <v>240</v>
      </c>
      <c r="C24" s="24" t="s">
        <v>241</v>
      </c>
      <c r="D24" s="24">
        <v>42</v>
      </c>
      <c r="E24" s="24" t="s">
        <v>39</v>
      </c>
      <c r="F24" s="24" t="s">
        <v>195</v>
      </c>
    </row>
  </sheetData>
  <mergeCells count="1">
    <mergeCell ref="A1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sheetPr codeName="Feuil3"/>
  <dimension ref="A1:F14"/>
  <sheetViews>
    <sheetView workbookViewId="0">
      <selection activeCell="A11" sqref="A11"/>
    </sheetView>
  </sheetViews>
  <sheetFormatPr baseColWidth="10" defaultRowHeight="15" x14ac:dyDescent="0.25"/>
  <cols>
    <col min="2" max="2" width="19.42578125" customWidth="1"/>
    <col min="3" max="3" width="17.42578125" customWidth="1"/>
    <col min="4" max="4" width="19.7109375" customWidth="1"/>
    <col min="5" max="5" width="32.85546875" customWidth="1"/>
    <col min="6" max="6" width="14" customWidth="1"/>
  </cols>
  <sheetData>
    <row r="1" spans="1:6" ht="15" customHeight="1" x14ac:dyDescent="0.25">
      <c r="A1" s="25" t="s">
        <v>117</v>
      </c>
      <c r="B1" s="26"/>
      <c r="C1" s="26"/>
      <c r="D1" s="26"/>
      <c r="E1" s="26"/>
      <c r="F1" s="27"/>
    </row>
    <row r="2" spans="1:6" ht="15" customHeight="1" x14ac:dyDescent="0.25">
      <c r="A2" s="28"/>
      <c r="B2" s="29"/>
      <c r="C2" s="29"/>
      <c r="D2" s="29"/>
      <c r="E2" s="29"/>
      <c r="F2" s="30"/>
    </row>
    <row r="3" spans="1:6" x14ac:dyDescent="0.25">
      <c r="A3" s="31"/>
      <c r="B3" s="32"/>
      <c r="C3" s="32"/>
      <c r="D3" s="32"/>
      <c r="E3" s="32"/>
      <c r="F3" s="33"/>
    </row>
    <row r="4" spans="1:6" x14ac:dyDescent="0.25">
      <c r="A4" s="12" t="s">
        <v>76</v>
      </c>
      <c r="B4" s="2" t="s">
        <v>77</v>
      </c>
      <c r="C4" s="2" t="s">
        <v>80</v>
      </c>
      <c r="D4" s="2" t="s">
        <v>81</v>
      </c>
      <c r="E4" s="2" t="s">
        <v>82</v>
      </c>
      <c r="F4" s="13" t="s">
        <v>83</v>
      </c>
    </row>
    <row r="5" spans="1:6" x14ac:dyDescent="0.25">
      <c r="A5" s="11">
        <v>1</v>
      </c>
      <c r="B5" s="11" t="s">
        <v>118</v>
      </c>
      <c r="C5" s="11" t="s">
        <v>128</v>
      </c>
      <c r="D5" s="11" t="s">
        <v>129</v>
      </c>
      <c r="E5" s="11" t="s">
        <v>130</v>
      </c>
      <c r="F5" s="11" t="s">
        <v>114</v>
      </c>
    </row>
    <row r="6" spans="1:6" x14ac:dyDescent="0.25">
      <c r="A6" s="11">
        <v>2</v>
      </c>
      <c r="B6" s="11" t="s">
        <v>119</v>
      </c>
      <c r="C6" s="11" t="s">
        <v>131</v>
      </c>
      <c r="D6" s="11" t="s">
        <v>132</v>
      </c>
      <c r="E6" s="11" t="s">
        <v>133</v>
      </c>
      <c r="F6" s="11" t="s">
        <v>134</v>
      </c>
    </row>
    <row r="7" spans="1:6" x14ac:dyDescent="0.25">
      <c r="A7" s="11">
        <v>3</v>
      </c>
      <c r="B7" s="11" t="s">
        <v>120</v>
      </c>
      <c r="C7" s="11" t="s">
        <v>135</v>
      </c>
      <c r="D7" s="11" t="s">
        <v>136</v>
      </c>
      <c r="E7" s="11" t="s">
        <v>137</v>
      </c>
      <c r="F7" s="11" t="s">
        <v>138</v>
      </c>
    </row>
    <row r="8" spans="1:6" x14ac:dyDescent="0.25">
      <c r="A8" s="11">
        <v>4</v>
      </c>
      <c r="B8" s="11" t="s">
        <v>121</v>
      </c>
      <c r="C8" s="11" t="s">
        <v>139</v>
      </c>
      <c r="D8" s="11" t="s">
        <v>140</v>
      </c>
      <c r="E8" s="11" t="s">
        <v>141</v>
      </c>
      <c r="F8" s="19" t="s">
        <v>142</v>
      </c>
    </row>
    <row r="9" spans="1:6" x14ac:dyDescent="0.25">
      <c r="A9" s="11">
        <v>5</v>
      </c>
      <c r="B9" s="11" t="s">
        <v>122</v>
      </c>
      <c r="C9" s="11" t="s">
        <v>139</v>
      </c>
      <c r="D9" s="11" t="s">
        <v>143</v>
      </c>
      <c r="E9" s="11" t="s">
        <v>144</v>
      </c>
      <c r="F9" s="19" t="s">
        <v>114</v>
      </c>
    </row>
    <row r="10" spans="1:6" x14ac:dyDescent="0.25">
      <c r="A10" s="11">
        <v>6</v>
      </c>
      <c r="B10" s="11" t="s">
        <v>123</v>
      </c>
      <c r="C10" s="11" t="s">
        <v>139</v>
      </c>
      <c r="D10" s="11" t="s">
        <v>145</v>
      </c>
      <c r="E10" s="11" t="s">
        <v>146</v>
      </c>
      <c r="F10" s="19" t="s">
        <v>147</v>
      </c>
    </row>
    <row r="11" spans="1:6" x14ac:dyDescent="0.25">
      <c r="A11" s="11">
        <v>7</v>
      </c>
      <c r="B11" s="11" t="s">
        <v>124</v>
      </c>
      <c r="C11" s="11" t="s">
        <v>148</v>
      </c>
      <c r="D11" s="11" t="s">
        <v>149</v>
      </c>
      <c r="E11" s="11" t="s">
        <v>150</v>
      </c>
      <c r="F11" s="19" t="s">
        <v>113</v>
      </c>
    </row>
    <row r="12" spans="1:6" x14ac:dyDescent="0.25">
      <c r="A12" s="11">
        <v>8</v>
      </c>
      <c r="B12" s="11" t="s">
        <v>125</v>
      </c>
      <c r="C12" s="11" t="s">
        <v>151</v>
      </c>
      <c r="D12" s="11" t="s">
        <v>152</v>
      </c>
      <c r="E12" s="11" t="s">
        <v>153</v>
      </c>
      <c r="F12" s="19" t="s">
        <v>154</v>
      </c>
    </row>
    <row r="13" spans="1:6" x14ac:dyDescent="0.25">
      <c r="A13" s="11">
        <v>9</v>
      </c>
      <c r="B13" s="11" t="s">
        <v>126</v>
      </c>
      <c r="C13" s="11" t="s">
        <v>155</v>
      </c>
      <c r="D13" s="11" t="s">
        <v>156</v>
      </c>
      <c r="E13" s="11" t="s">
        <v>157</v>
      </c>
      <c r="F13" s="19" t="s">
        <v>142</v>
      </c>
    </row>
    <row r="14" spans="1:6" x14ac:dyDescent="0.25">
      <c r="A14" s="11">
        <v>10</v>
      </c>
      <c r="B14" s="11" t="s">
        <v>127</v>
      </c>
      <c r="C14" s="11" t="s">
        <v>128</v>
      </c>
      <c r="D14" s="11" t="s">
        <v>129</v>
      </c>
      <c r="E14" s="11" t="s">
        <v>158</v>
      </c>
      <c r="F14" s="19" t="s">
        <v>114</v>
      </c>
    </row>
  </sheetData>
  <mergeCells count="1">
    <mergeCell ref="A1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sheetPr codeName="Feuil4"/>
  <dimension ref="A1:C11"/>
  <sheetViews>
    <sheetView workbookViewId="0">
      <selection sqref="A1:C3"/>
    </sheetView>
  </sheetViews>
  <sheetFormatPr baseColWidth="10" defaultRowHeight="15" x14ac:dyDescent="0.25"/>
  <cols>
    <col min="2" max="2" width="13.7109375" customWidth="1"/>
  </cols>
  <sheetData>
    <row r="1" spans="1:3" x14ac:dyDescent="0.25">
      <c r="A1" s="34" t="s">
        <v>160</v>
      </c>
      <c r="B1" s="43"/>
      <c r="C1" s="44"/>
    </row>
    <row r="2" spans="1:3" x14ac:dyDescent="0.25">
      <c r="A2" s="45"/>
      <c r="B2" s="46"/>
      <c r="C2" s="47"/>
    </row>
    <row r="3" spans="1:3" x14ac:dyDescent="0.25">
      <c r="A3" s="45"/>
      <c r="B3" s="46"/>
      <c r="C3" s="47"/>
    </row>
    <row r="4" spans="1:3" x14ac:dyDescent="0.25">
      <c r="A4" s="16" t="s">
        <v>76</v>
      </c>
      <c r="B4" s="3" t="s">
        <v>77</v>
      </c>
      <c r="C4" s="17" t="s">
        <v>159</v>
      </c>
    </row>
    <row r="5" spans="1:3" x14ac:dyDescent="0.25">
      <c r="A5" s="11">
        <v>1</v>
      </c>
      <c r="B5" s="11" t="s">
        <v>161</v>
      </c>
      <c r="C5" s="11">
        <v>17.989999999999998</v>
      </c>
    </row>
    <row r="6" spans="1:3" x14ac:dyDescent="0.25">
      <c r="A6" s="11">
        <v>2</v>
      </c>
      <c r="B6" s="11" t="s">
        <v>162</v>
      </c>
      <c r="C6" s="11">
        <v>6.99</v>
      </c>
    </row>
    <row r="7" spans="1:3" x14ac:dyDescent="0.25">
      <c r="A7" s="11">
        <v>3</v>
      </c>
      <c r="B7" s="11" t="s">
        <v>227</v>
      </c>
      <c r="C7" s="11">
        <v>8.99</v>
      </c>
    </row>
    <row r="8" spans="1:3" x14ac:dyDescent="0.25">
      <c r="A8" s="11">
        <v>4</v>
      </c>
      <c r="B8" s="11" t="s">
        <v>163</v>
      </c>
      <c r="C8" s="11">
        <v>24.99</v>
      </c>
    </row>
    <row r="9" spans="1:3" x14ac:dyDescent="0.25">
      <c r="A9" s="11">
        <v>5</v>
      </c>
      <c r="B9" s="11" t="s">
        <v>164</v>
      </c>
      <c r="C9" s="11">
        <v>10.99</v>
      </c>
    </row>
    <row r="10" spans="1:3" x14ac:dyDescent="0.25">
      <c r="A10" s="11">
        <v>6</v>
      </c>
      <c r="B10" s="11" t="s">
        <v>228</v>
      </c>
      <c r="C10" s="11">
        <v>4.99</v>
      </c>
    </row>
    <row r="11" spans="1:3" x14ac:dyDescent="0.25">
      <c r="A11" s="11">
        <v>7</v>
      </c>
      <c r="B11" s="11" t="s">
        <v>165</v>
      </c>
      <c r="C11" s="11">
        <v>6.99</v>
      </c>
    </row>
  </sheetData>
  <mergeCells count="1">
    <mergeCell ref="A1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sheetPr codeName="Feuil5"/>
  <dimension ref="A1:E14"/>
  <sheetViews>
    <sheetView workbookViewId="0">
      <selection sqref="A1:E3"/>
    </sheetView>
  </sheetViews>
  <sheetFormatPr baseColWidth="10" defaultRowHeight="15" x14ac:dyDescent="0.25"/>
  <cols>
    <col min="4" max="4" width="45.140625" customWidth="1"/>
    <col min="5" max="5" width="14.28515625" customWidth="1"/>
  </cols>
  <sheetData>
    <row r="1" spans="1:5" x14ac:dyDescent="0.25">
      <c r="A1" s="34" t="s">
        <v>166</v>
      </c>
      <c r="B1" s="35"/>
      <c r="C1" s="35"/>
      <c r="D1" s="35"/>
      <c r="E1" s="36"/>
    </row>
    <row r="2" spans="1:5" x14ac:dyDescent="0.25">
      <c r="A2" s="37"/>
      <c r="B2" s="38"/>
      <c r="C2" s="38"/>
      <c r="D2" s="38"/>
      <c r="E2" s="39"/>
    </row>
    <row r="3" spans="1:5" x14ac:dyDescent="0.25">
      <c r="A3" s="37"/>
      <c r="B3" s="38"/>
      <c r="C3" s="38"/>
      <c r="D3" s="38"/>
      <c r="E3" s="39"/>
    </row>
    <row r="4" spans="1:5" x14ac:dyDescent="0.25">
      <c r="A4" s="16" t="s">
        <v>76</v>
      </c>
      <c r="B4" s="3" t="s">
        <v>167</v>
      </c>
      <c r="C4" s="3" t="s">
        <v>168</v>
      </c>
      <c r="D4" s="3" t="s">
        <v>169</v>
      </c>
      <c r="E4" s="17" t="s">
        <v>170</v>
      </c>
    </row>
    <row r="5" spans="1:5" x14ac:dyDescent="0.25">
      <c r="A5" s="11">
        <v>1</v>
      </c>
      <c r="B5" s="11">
        <f ca="1">RANDBETWEEN(1, 7)</f>
        <v>6</v>
      </c>
      <c r="C5" s="11">
        <f ca="1">RANDBETWEEN(1, 17)</f>
        <v>6</v>
      </c>
      <c r="D5" s="15" cm="1">
        <f t="array" aca="1" ref="D5" ca="1">RANDBETWEEN("01/01/2020",TODAY())+_xlfn.RANDARRAY(1,1,1,59.03,FALSE)</f>
        <v>44510.694679692686</v>
      </c>
      <c r="E5" s="18" t="s">
        <v>171</v>
      </c>
    </row>
    <row r="6" spans="1:5" x14ac:dyDescent="0.25">
      <c r="A6" s="11">
        <v>2</v>
      </c>
      <c r="B6" s="11">
        <f t="shared" ref="B6:B14" ca="1" si="0">RANDBETWEEN(1, 7)</f>
        <v>6</v>
      </c>
      <c r="C6" s="11">
        <f t="shared" ref="C6:C14" ca="1" si="1">RANDBETWEEN(1, 10)</f>
        <v>1</v>
      </c>
      <c r="D6" s="15" cm="1">
        <f t="array" aca="1" ref="D6" ca="1">RANDBETWEEN("01/01/2020",TODAY())+_xlfn.RANDARRAY(1,1,1,59.03,FALSE)</f>
        <v>44165.668664598365</v>
      </c>
      <c r="E6" s="18" t="s">
        <v>172</v>
      </c>
    </row>
    <row r="7" spans="1:5" x14ac:dyDescent="0.25">
      <c r="A7" s="11">
        <v>3</v>
      </c>
      <c r="B7" s="11">
        <f t="shared" ca="1" si="0"/>
        <v>4</v>
      </c>
      <c r="C7" s="11">
        <f t="shared" ca="1" si="1"/>
        <v>6</v>
      </c>
      <c r="D7" s="15" cm="1">
        <f t="array" aca="1" ref="D7" ca="1">RANDBETWEEN("01/01/2020",TODAY())+_xlfn.RANDARRAY(1,1,1,59.03,FALSE)</f>
        <v>44560.083314489071</v>
      </c>
      <c r="E7" s="18" t="s">
        <v>173</v>
      </c>
    </row>
    <row r="8" spans="1:5" x14ac:dyDescent="0.25">
      <c r="A8" s="11">
        <v>4</v>
      </c>
      <c r="B8" s="11">
        <f t="shared" ca="1" si="0"/>
        <v>5</v>
      </c>
      <c r="C8" s="11">
        <f t="shared" ca="1" si="1"/>
        <v>10</v>
      </c>
      <c r="D8" s="15" cm="1">
        <f t="array" aca="1" ref="D8" ca="1">RANDBETWEEN("01/01/2020",TODAY())+_xlfn.RANDARRAY(1,1,1,59.03,FALSE)</f>
        <v>43968.106970468252</v>
      </c>
      <c r="E8" s="18" t="s">
        <v>171</v>
      </c>
    </row>
    <row r="9" spans="1:5" x14ac:dyDescent="0.25">
      <c r="A9" s="11">
        <v>5</v>
      </c>
      <c r="B9" s="11">
        <f t="shared" ca="1" si="0"/>
        <v>3</v>
      </c>
      <c r="C9" s="11">
        <f t="shared" ca="1" si="1"/>
        <v>9</v>
      </c>
      <c r="D9" s="15" cm="1">
        <f t="array" aca="1" ref="D9" ca="1">RANDBETWEEN("01/01/2020",TODAY())+_xlfn.RANDARRAY(1,1,1,59.03,FALSE)</f>
        <v>44609.295965521727</v>
      </c>
      <c r="E9" s="18" t="s">
        <v>172</v>
      </c>
    </row>
    <row r="10" spans="1:5" x14ac:dyDescent="0.25">
      <c r="A10" s="11">
        <v>6</v>
      </c>
      <c r="B10" s="11">
        <f t="shared" ca="1" si="0"/>
        <v>3</v>
      </c>
      <c r="C10" s="11">
        <f t="shared" ca="1" si="1"/>
        <v>5</v>
      </c>
      <c r="D10" s="15" cm="1">
        <f t="array" aca="1" ref="D10" ca="1">RANDBETWEEN("01/01/2020",TODAY())+_xlfn.RANDARRAY(1,1,1,59.03,FALSE)</f>
        <v>44139.797393825902</v>
      </c>
      <c r="E10" s="18" t="s">
        <v>174</v>
      </c>
    </row>
    <row r="11" spans="1:5" x14ac:dyDescent="0.25">
      <c r="A11" s="11">
        <v>7</v>
      </c>
      <c r="B11" s="11">
        <f t="shared" ca="1" si="0"/>
        <v>7</v>
      </c>
      <c r="C11" s="11">
        <f t="shared" ca="1" si="1"/>
        <v>7</v>
      </c>
      <c r="D11" s="15" cm="1">
        <f t="array" aca="1" ref="D11" ca="1">RANDBETWEEN("01/01/2020",TODAY())+_xlfn.RANDARRAY(1,1,1,59.03,FALSE)</f>
        <v>44163.271247101322</v>
      </c>
      <c r="E11" s="18" t="s">
        <v>172</v>
      </c>
    </row>
    <row r="12" spans="1:5" x14ac:dyDescent="0.25">
      <c r="A12" s="11">
        <v>8</v>
      </c>
      <c r="B12" s="11">
        <f t="shared" ca="1" si="0"/>
        <v>6</v>
      </c>
      <c r="C12" s="11">
        <f t="shared" ca="1" si="1"/>
        <v>2</v>
      </c>
      <c r="D12" s="15" cm="1">
        <f t="array" aca="1" ref="D12" ca="1">RANDBETWEEN("01/01/2020",TODAY())+_xlfn.RANDARRAY(1,1,1,59.03,FALSE)</f>
        <v>44130.443882349427</v>
      </c>
      <c r="E12" s="18" t="s">
        <v>171</v>
      </c>
    </row>
    <row r="13" spans="1:5" x14ac:dyDescent="0.25">
      <c r="A13" s="11">
        <v>9</v>
      </c>
      <c r="B13" s="11">
        <f t="shared" ca="1" si="0"/>
        <v>1</v>
      </c>
      <c r="C13" s="11">
        <f t="shared" ca="1" si="1"/>
        <v>9</v>
      </c>
      <c r="D13" s="15" cm="1">
        <f t="array" aca="1" ref="D13" ca="1">RANDBETWEEN("01/01/2020",TODAY())+_xlfn.RANDARRAY(1,1,1,59.03,FALSE)</f>
        <v>44401.646533799823</v>
      </c>
      <c r="E13" s="18" t="s">
        <v>174</v>
      </c>
    </row>
    <row r="14" spans="1:5" x14ac:dyDescent="0.25">
      <c r="A14" s="11">
        <v>10</v>
      </c>
      <c r="B14" s="11">
        <f t="shared" ca="1" si="0"/>
        <v>2</v>
      </c>
      <c r="C14" s="11">
        <f t="shared" ca="1" si="1"/>
        <v>8</v>
      </c>
      <c r="D14" s="15" cm="1">
        <f t="array" aca="1" ref="D14" ca="1">RANDBETWEEN("01/01/2020",TODAY())+_xlfn.RANDARRAY(1,1,1,59.03,FALSE)</f>
        <v>43993.572325547168</v>
      </c>
      <c r="E14" s="18" t="s">
        <v>172</v>
      </c>
    </row>
  </sheetData>
  <mergeCells count="1">
    <mergeCell ref="A1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sheetPr codeName="Feuil6"/>
  <dimension ref="A1:I16"/>
  <sheetViews>
    <sheetView workbookViewId="0">
      <selection sqref="A1:I3"/>
    </sheetView>
  </sheetViews>
  <sheetFormatPr baseColWidth="10" defaultRowHeight="15" x14ac:dyDescent="0.25"/>
  <cols>
    <col min="2" max="2" width="17.7109375" customWidth="1"/>
    <col min="3" max="3" width="14.7109375" customWidth="1"/>
    <col min="4" max="4" width="11" customWidth="1"/>
    <col min="5" max="5" width="20.42578125" customWidth="1"/>
    <col min="8" max="8" width="16.42578125" customWidth="1"/>
    <col min="9" max="9" width="15.42578125" customWidth="1"/>
  </cols>
  <sheetData>
    <row r="1" spans="1:9" ht="15" customHeight="1" x14ac:dyDescent="0.25">
      <c r="A1" s="25" t="s">
        <v>181</v>
      </c>
      <c r="B1" s="26"/>
      <c r="C1" s="26"/>
      <c r="D1" s="26"/>
      <c r="E1" s="26"/>
      <c r="F1" s="26"/>
      <c r="G1" s="26"/>
      <c r="H1" s="26"/>
      <c r="I1" s="27"/>
    </row>
    <row r="2" spans="1:9" ht="15" customHeight="1" x14ac:dyDescent="0.25">
      <c r="A2" s="28"/>
      <c r="B2" s="29"/>
      <c r="C2" s="29"/>
      <c r="D2" s="29"/>
      <c r="E2" s="29"/>
      <c r="F2" s="29"/>
      <c r="G2" s="29"/>
      <c r="H2" s="29"/>
      <c r="I2" s="30"/>
    </row>
    <row r="3" spans="1:9" x14ac:dyDescent="0.25">
      <c r="A3" s="31"/>
      <c r="B3" s="32"/>
      <c r="C3" s="32"/>
      <c r="D3" s="32"/>
      <c r="E3" s="32"/>
      <c r="F3" s="32"/>
      <c r="G3" s="32"/>
      <c r="H3" s="32"/>
      <c r="I3" s="33"/>
    </row>
    <row r="4" spans="1:9" x14ac:dyDescent="0.25">
      <c r="A4" s="12" t="s">
        <v>76</v>
      </c>
      <c r="B4" s="2" t="s">
        <v>175</v>
      </c>
      <c r="C4" s="2" t="s">
        <v>168</v>
      </c>
      <c r="D4" s="2" t="s">
        <v>79</v>
      </c>
      <c r="E4" s="2" t="s">
        <v>176</v>
      </c>
      <c r="F4" s="2" t="s">
        <v>177</v>
      </c>
      <c r="G4" s="2" t="s">
        <v>178</v>
      </c>
      <c r="H4" s="2" t="s">
        <v>179</v>
      </c>
      <c r="I4" s="13" t="s">
        <v>180</v>
      </c>
    </row>
    <row r="5" spans="1:9" x14ac:dyDescent="0.25">
      <c r="A5" s="11">
        <v>1</v>
      </c>
      <c r="B5" s="11">
        <f ca="1">RANDBETWEEN(1, 10)</f>
        <v>9</v>
      </c>
      <c r="C5" s="11">
        <f ca="1">RANDBETWEEN(1, 17)</f>
        <v>2</v>
      </c>
      <c r="D5" s="14" cm="1">
        <f t="array" aca="1" ref="D5" ca="1">_xlfn.RANDARRAY(1,1,0,0.03,FALSE)</f>
        <v>2.4270758833956178E-2</v>
      </c>
      <c r="E5" s="15" cm="1">
        <f t="array" aca="1" ref="E5" ca="1">RANDBETWEEN("01/01/2020",TODAY())+_xlfn.RANDARRAY(1,1,1,59.03,FALSE)</f>
        <v>44041.444560398581</v>
      </c>
      <c r="F5" s="11" t="s">
        <v>182</v>
      </c>
      <c r="G5" s="11">
        <f ca="1" xml:space="preserve">  RANDBETWEEN(0, 100)</f>
        <v>25</v>
      </c>
      <c r="H5" s="11">
        <f ca="1" xml:space="preserve">  RANDBETWEEN(1, 5)</f>
        <v>4</v>
      </c>
      <c r="I5" s="11">
        <f ca="1" xml:space="preserve">  RANDBETWEEN(1, 12)</f>
        <v>4</v>
      </c>
    </row>
    <row r="6" spans="1:9" x14ac:dyDescent="0.25">
      <c r="A6" s="11">
        <v>2</v>
      </c>
      <c r="B6" s="11">
        <f t="shared" ref="B6:B16" ca="1" si="0">RANDBETWEEN(1, 10)</f>
        <v>1</v>
      </c>
      <c r="C6" s="11">
        <f t="shared" ref="C6:C16" ca="1" si="1">RANDBETWEEN(1, 17)</f>
        <v>2</v>
      </c>
      <c r="D6" s="14" cm="1">
        <f t="array" aca="1" ref="D6" ca="1">_xlfn.RANDARRAY(1,1,0,0.03,FALSE)</f>
        <v>1.704285531157251E-2</v>
      </c>
      <c r="E6" s="15" cm="1">
        <f t="array" aca="1" ref="E6" ca="1">RANDBETWEEN("01/01/2020",TODAY())+_xlfn.RANDARRAY(1,1,1,59.03,FALSE)</f>
        <v>44762.635744850209</v>
      </c>
      <c r="F6" s="11" t="s">
        <v>183</v>
      </c>
      <c r="G6" s="11">
        <f t="shared" ref="G6:G16" ca="1" si="2" xml:space="preserve">  RANDBETWEEN(0, 100)</f>
        <v>44</v>
      </c>
      <c r="H6" s="11">
        <f t="shared" ref="H6:H16" ca="1" si="3" xml:space="preserve">  RANDBETWEEN(1, 5)</f>
        <v>3</v>
      </c>
      <c r="I6" s="11">
        <f t="shared" ref="I6:I16" ca="1" si="4" xml:space="preserve">  RANDBETWEEN(1, 12)</f>
        <v>1</v>
      </c>
    </row>
    <row r="7" spans="1:9" x14ac:dyDescent="0.25">
      <c r="A7" s="11">
        <v>3</v>
      </c>
      <c r="B7" s="11">
        <f t="shared" ca="1" si="0"/>
        <v>5</v>
      </c>
      <c r="C7" s="11">
        <f t="shared" ca="1" si="1"/>
        <v>5</v>
      </c>
      <c r="D7" s="14" cm="1">
        <f t="array" aca="1" ref="D7" ca="1">_xlfn.RANDARRAY(1,1,0,0.03,FALSE)</f>
        <v>5.9942277649630525E-3</v>
      </c>
      <c r="E7" s="15" cm="1">
        <f t="array" aca="1" ref="E7" ca="1">RANDBETWEEN("01/01/2020",TODAY())+_xlfn.RANDARRAY(1,1,1,59.03,FALSE)</f>
        <v>43923.077874926072</v>
      </c>
      <c r="F7" s="11" t="s">
        <v>184</v>
      </c>
      <c r="G7" s="11">
        <f t="shared" ca="1" si="2"/>
        <v>86</v>
      </c>
      <c r="H7" s="11">
        <f t="shared" ca="1" si="3"/>
        <v>2</v>
      </c>
      <c r="I7" s="11">
        <f t="shared" ca="1" si="4"/>
        <v>2</v>
      </c>
    </row>
    <row r="8" spans="1:9" x14ac:dyDescent="0.25">
      <c r="A8" s="11">
        <v>4</v>
      </c>
      <c r="B8" s="11">
        <f t="shared" ca="1" si="0"/>
        <v>9</v>
      </c>
      <c r="C8" s="11">
        <f t="shared" ca="1" si="1"/>
        <v>7</v>
      </c>
      <c r="D8" s="14" cm="1">
        <f t="array" aca="1" ref="D8" ca="1">_xlfn.RANDARRAY(1,1,0,0.03,FALSE)</f>
        <v>1.7535803926227087E-2</v>
      </c>
      <c r="E8" s="15" cm="1">
        <f t="array" aca="1" ref="E8" ca="1">RANDBETWEEN("01/01/2020",TODAY())+_xlfn.RANDARRAY(1,1,1,59.03,FALSE)</f>
        <v>44469.008337273706</v>
      </c>
      <c r="F8" s="11" t="s">
        <v>182</v>
      </c>
      <c r="G8" s="11">
        <f t="shared" ca="1" si="2"/>
        <v>43</v>
      </c>
      <c r="H8" s="11">
        <f t="shared" ca="1" si="3"/>
        <v>2</v>
      </c>
      <c r="I8" s="11">
        <f t="shared" ca="1" si="4"/>
        <v>12</v>
      </c>
    </row>
    <row r="9" spans="1:9" x14ac:dyDescent="0.25">
      <c r="A9" s="11">
        <v>5</v>
      </c>
      <c r="B9" s="11">
        <f t="shared" ca="1" si="0"/>
        <v>8</v>
      </c>
      <c r="C9" s="11">
        <f t="shared" ca="1" si="1"/>
        <v>15</v>
      </c>
      <c r="D9" s="14" cm="1">
        <f t="array" aca="1" ref="D9" ca="1">_xlfn.RANDARRAY(1,1,0,0.03,FALSE)</f>
        <v>1.0068385141092269E-2</v>
      </c>
      <c r="E9" s="15" cm="1">
        <f t="array" aca="1" ref="E9" ca="1">RANDBETWEEN("01/01/2020",TODAY())+_xlfn.RANDARRAY(1,1,1,59.03,FALSE)</f>
        <v>44211.472485230013</v>
      </c>
      <c r="F9" s="11" t="s">
        <v>184</v>
      </c>
      <c r="G9" s="11">
        <f t="shared" ca="1" si="2"/>
        <v>35</v>
      </c>
      <c r="H9" s="11">
        <f t="shared" ca="1" si="3"/>
        <v>3</v>
      </c>
      <c r="I9" s="11">
        <f t="shared" ca="1" si="4"/>
        <v>8</v>
      </c>
    </row>
    <row r="10" spans="1:9" x14ac:dyDescent="0.25">
      <c r="A10" s="11">
        <v>6</v>
      </c>
      <c r="B10" s="11">
        <f t="shared" ca="1" si="0"/>
        <v>8</v>
      </c>
      <c r="C10" s="11">
        <f t="shared" ca="1" si="1"/>
        <v>2</v>
      </c>
      <c r="D10" s="14" cm="1">
        <f t="array" aca="1" ref="D10" ca="1">_xlfn.RANDARRAY(1,1,0,0.03,FALSE)</f>
        <v>1.4207524324115622E-3</v>
      </c>
      <c r="E10" s="15" cm="1">
        <f t="array" aca="1" ref="E10" ca="1">RANDBETWEEN("01/01/2020",TODAY())+_xlfn.RANDARRAY(1,1,1,59.03,FALSE)</f>
        <v>44250.295317599375</v>
      </c>
      <c r="F10" s="11" t="s">
        <v>184</v>
      </c>
      <c r="G10" s="11">
        <f t="shared" ca="1" si="2"/>
        <v>37</v>
      </c>
      <c r="H10" s="11">
        <f t="shared" ca="1" si="3"/>
        <v>1</v>
      </c>
      <c r="I10" s="11">
        <f t="shared" ca="1" si="4"/>
        <v>2</v>
      </c>
    </row>
    <row r="11" spans="1:9" x14ac:dyDescent="0.25">
      <c r="A11" s="11">
        <v>7</v>
      </c>
      <c r="B11" s="11">
        <f t="shared" ca="1" si="0"/>
        <v>2</v>
      </c>
      <c r="C11" s="11">
        <f t="shared" ca="1" si="1"/>
        <v>8</v>
      </c>
      <c r="D11" s="14" cm="1">
        <f t="array" aca="1" ref="D11" ca="1">_xlfn.RANDARRAY(1,1,0,0.03,FALSE)</f>
        <v>2.6374746664570306E-2</v>
      </c>
      <c r="E11" s="15" cm="1">
        <f t="array" aca="1" ref="E11" ca="1">RANDBETWEEN("01/01/2020",TODAY())+_xlfn.RANDARRAY(1,1,1,59.03,FALSE)</f>
        <v>44102.337556251172</v>
      </c>
      <c r="F11" s="11" t="s">
        <v>184</v>
      </c>
      <c r="G11" s="11">
        <f t="shared" ca="1" si="2"/>
        <v>25</v>
      </c>
      <c r="H11" s="11">
        <f t="shared" ca="1" si="3"/>
        <v>3</v>
      </c>
      <c r="I11" s="11">
        <f t="shared" ca="1" si="4"/>
        <v>11</v>
      </c>
    </row>
    <row r="12" spans="1:9" x14ac:dyDescent="0.25">
      <c r="A12" s="11">
        <v>8</v>
      </c>
      <c r="B12" s="11">
        <f t="shared" ca="1" si="0"/>
        <v>5</v>
      </c>
      <c r="C12" s="11">
        <f t="shared" ca="1" si="1"/>
        <v>7</v>
      </c>
      <c r="D12" s="14" cm="1">
        <f t="array" aca="1" ref="D12" ca="1">_xlfn.RANDARRAY(1,1,0,0.03,FALSE)</f>
        <v>2.0898161631153937E-2</v>
      </c>
      <c r="E12" s="15" cm="1">
        <f t="array" aca="1" ref="E12" ca="1">RANDBETWEEN("01/01/2020",TODAY())+_xlfn.RANDARRAY(1,1,1,59.03,FALSE)</f>
        <v>44215.671168221241</v>
      </c>
      <c r="F12" s="11" t="s">
        <v>182</v>
      </c>
      <c r="G12" s="11">
        <f t="shared" ca="1" si="2"/>
        <v>68</v>
      </c>
      <c r="H12" s="11">
        <f t="shared" ca="1" si="3"/>
        <v>1</v>
      </c>
      <c r="I12" s="11">
        <f t="shared" ca="1" si="4"/>
        <v>10</v>
      </c>
    </row>
    <row r="13" spans="1:9" x14ac:dyDescent="0.25">
      <c r="A13" s="11">
        <v>9</v>
      </c>
      <c r="B13" s="11">
        <f t="shared" ca="1" si="0"/>
        <v>1</v>
      </c>
      <c r="C13" s="11">
        <f t="shared" ca="1" si="1"/>
        <v>12</v>
      </c>
      <c r="D13" s="14" cm="1">
        <f t="array" aca="1" ref="D13" ca="1">_xlfn.RANDARRAY(1,1,0,0.03,FALSE)</f>
        <v>1.6339384753240108E-3</v>
      </c>
      <c r="E13" s="15" cm="1">
        <f t="array" aca="1" ref="E13" ca="1">RANDBETWEEN("01/01/2020",TODAY())+_xlfn.RANDARRAY(1,1,1,59.03,FALSE)</f>
        <v>44600.616068808064</v>
      </c>
      <c r="F13" s="11" t="s">
        <v>182</v>
      </c>
      <c r="G13" s="11">
        <f t="shared" ca="1" si="2"/>
        <v>27</v>
      </c>
      <c r="H13" s="11">
        <f t="shared" ca="1" si="3"/>
        <v>4</v>
      </c>
      <c r="I13" s="11">
        <f t="shared" ca="1" si="4"/>
        <v>7</v>
      </c>
    </row>
    <row r="14" spans="1:9" x14ac:dyDescent="0.25">
      <c r="A14" s="11">
        <v>10</v>
      </c>
      <c r="B14" s="11">
        <f t="shared" ca="1" si="0"/>
        <v>5</v>
      </c>
      <c r="C14" s="11">
        <f t="shared" ca="1" si="1"/>
        <v>10</v>
      </c>
      <c r="D14" s="14" cm="1">
        <f t="array" aca="1" ref="D14" ca="1">_xlfn.RANDARRAY(1,1,0,0.03,FALSE)</f>
        <v>2.3253221426607372E-2</v>
      </c>
      <c r="E14" s="15" cm="1">
        <f t="array" aca="1" ref="E14" ca="1">RANDBETWEEN("01/01/2020",TODAY())+_xlfn.RANDARRAY(1,1,1,59.03,FALSE)</f>
        <v>44826.572191982305</v>
      </c>
      <c r="F14" s="11" t="s">
        <v>184</v>
      </c>
      <c r="G14" s="11">
        <f t="shared" ca="1" si="2"/>
        <v>46</v>
      </c>
      <c r="H14" s="11">
        <f t="shared" ca="1" si="3"/>
        <v>3</v>
      </c>
      <c r="I14" s="11">
        <f t="shared" ca="1" si="4"/>
        <v>7</v>
      </c>
    </row>
    <row r="15" spans="1:9" x14ac:dyDescent="0.25">
      <c r="A15" s="11">
        <v>11</v>
      </c>
      <c r="B15" s="11">
        <f t="shared" ca="1" si="0"/>
        <v>4</v>
      </c>
      <c r="C15" s="11">
        <f t="shared" ca="1" si="1"/>
        <v>2</v>
      </c>
      <c r="D15" s="14" cm="1">
        <f t="array" aca="1" ref="D15" ca="1">_xlfn.RANDARRAY(1,1,0,0.03,FALSE)</f>
        <v>4.6856524825964821E-3</v>
      </c>
      <c r="E15" s="15" cm="1">
        <f t="array" aca="1" ref="E15" ca="1">RANDBETWEEN("01/01/2020",TODAY())+_xlfn.RANDARRAY(1,1,1,59.03,FALSE)</f>
        <v>44758.737938944694</v>
      </c>
      <c r="F15" s="11" t="s">
        <v>183</v>
      </c>
      <c r="G15" s="11">
        <f t="shared" ca="1" si="2"/>
        <v>37</v>
      </c>
      <c r="H15" s="11">
        <f t="shared" ca="1" si="3"/>
        <v>2</v>
      </c>
      <c r="I15" s="11">
        <f t="shared" ca="1" si="4"/>
        <v>3</v>
      </c>
    </row>
    <row r="16" spans="1:9" x14ac:dyDescent="0.25">
      <c r="A16" s="11">
        <v>12</v>
      </c>
      <c r="B16" s="11">
        <f t="shared" ca="1" si="0"/>
        <v>4</v>
      </c>
      <c r="C16" s="11">
        <f t="shared" ca="1" si="1"/>
        <v>5</v>
      </c>
      <c r="D16" s="14" cm="1">
        <f t="array" aca="1" ref="D16" ca="1">_xlfn.RANDARRAY(1,1,0,0.03,FALSE)</f>
        <v>2.6336573793623794E-4</v>
      </c>
      <c r="E16" s="15" cm="1">
        <f t="array" aca="1" ref="E16" ca="1">RANDBETWEEN("01/01/2020",TODAY())+_xlfn.RANDARRAY(1,1,1,59.03,FALSE)</f>
        <v>43981.103657709551</v>
      </c>
      <c r="F16" s="11" t="s">
        <v>184</v>
      </c>
      <c r="G16" s="11">
        <f t="shared" ca="1" si="2"/>
        <v>74</v>
      </c>
      <c r="H16" s="11">
        <f t="shared" ca="1" si="3"/>
        <v>2</v>
      </c>
      <c r="I16" s="11">
        <f t="shared" ca="1" si="4"/>
        <v>3</v>
      </c>
    </row>
  </sheetData>
  <mergeCells count="1">
    <mergeCell ref="A1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66E6-056E-1344-B149-B7C8051A5568}">
  <sheetPr codeName="Feuil8"/>
  <dimension ref="A1:G16"/>
  <sheetViews>
    <sheetView workbookViewId="0">
      <selection sqref="A1:G3"/>
    </sheetView>
  </sheetViews>
  <sheetFormatPr baseColWidth="10" defaultRowHeight="15" x14ac:dyDescent="0.25"/>
  <cols>
    <col min="1" max="1" width="11.7109375" customWidth="1"/>
    <col min="5" max="5" width="22.85546875" customWidth="1"/>
  </cols>
  <sheetData>
    <row r="1" spans="1:7" ht="15" customHeight="1" x14ac:dyDescent="0.25">
      <c r="A1" s="25" t="s">
        <v>185</v>
      </c>
      <c r="B1" s="26"/>
      <c r="C1" s="26"/>
      <c r="D1" s="26"/>
      <c r="E1" s="26"/>
      <c r="F1" s="26"/>
      <c r="G1" s="27"/>
    </row>
    <row r="2" spans="1:7" ht="15" customHeight="1" x14ac:dyDescent="0.25">
      <c r="A2" s="28"/>
      <c r="B2" s="29"/>
      <c r="C2" s="29"/>
      <c r="D2" s="29"/>
      <c r="E2" s="29"/>
      <c r="F2" s="29"/>
      <c r="G2" s="30"/>
    </row>
    <row r="3" spans="1:7" x14ac:dyDescent="0.25">
      <c r="A3" s="31"/>
      <c r="B3" s="32"/>
      <c r="C3" s="32"/>
      <c r="D3" s="32"/>
      <c r="E3" s="32"/>
      <c r="F3" s="32"/>
      <c r="G3" s="33"/>
    </row>
    <row r="4" spans="1:7" x14ac:dyDescent="0.25">
      <c r="A4" s="12" t="s">
        <v>76</v>
      </c>
      <c r="B4" s="2" t="s">
        <v>186</v>
      </c>
      <c r="C4" s="2" t="s">
        <v>168</v>
      </c>
      <c r="D4" s="2" t="s">
        <v>79</v>
      </c>
      <c r="E4" s="2" t="s">
        <v>176</v>
      </c>
      <c r="F4" s="2" t="s">
        <v>177</v>
      </c>
      <c r="G4" s="13" t="s">
        <v>178</v>
      </c>
    </row>
    <row r="5" spans="1:7" x14ac:dyDescent="0.25">
      <c r="A5" s="11">
        <v>1</v>
      </c>
      <c r="B5" s="11">
        <f ca="1">RANDBETWEEN(1, 10)</f>
        <v>1</v>
      </c>
      <c r="C5" s="11">
        <f ca="1">RANDBETWEEN(1, 17)</f>
        <v>1</v>
      </c>
      <c r="D5" s="14" cm="1">
        <f t="array" aca="1" ref="D5" ca="1">_xlfn.RANDARRAY(1,1,0,0.3,FALSE)</f>
        <v>0.1507660737268619</v>
      </c>
      <c r="E5" s="15" cm="1">
        <f t="array" aca="1" ref="E5" ca="1">RANDBETWEEN("01/01/2020",TODAY())+_xlfn.RANDARRAY(1,1,1,59.03,FALSE)</f>
        <v>44496.132767555493</v>
      </c>
      <c r="F5" s="11" t="s">
        <v>182</v>
      </c>
      <c r="G5" s="11">
        <f ca="1" xml:space="preserve">  RANDBETWEEN(0, 100)</f>
        <v>18</v>
      </c>
    </row>
    <row r="6" spans="1:7" x14ac:dyDescent="0.25">
      <c r="A6" s="11">
        <v>2</v>
      </c>
      <c r="B6" s="11">
        <f t="shared" ref="B6:B16" ca="1" si="0">RANDBETWEEN(1, 10)</f>
        <v>1</v>
      </c>
      <c r="C6" s="11">
        <f t="shared" ref="C6:C16" ca="1" si="1">RANDBETWEEN(1, 17)</f>
        <v>2</v>
      </c>
      <c r="D6" s="14" cm="1">
        <f t="array" aca="1" ref="D6" ca="1">_xlfn.RANDARRAY(1,1,0,0.3,FALSE)</f>
        <v>0.25099184415233411</v>
      </c>
      <c r="E6" s="15" cm="1">
        <f t="array" aca="1" ref="E6" ca="1">RANDBETWEEN("01/01/2020",TODAY())+_xlfn.RANDARRAY(1,1,1,59.03,FALSE)</f>
        <v>44234.612406914654</v>
      </c>
      <c r="F6" s="11" t="s">
        <v>183</v>
      </c>
      <c r="G6" s="11">
        <f t="shared" ref="G6:G16" ca="1" si="2" xml:space="preserve">  RANDBETWEEN(0, 100)</f>
        <v>76</v>
      </c>
    </row>
    <row r="7" spans="1:7" x14ac:dyDescent="0.25">
      <c r="A7" s="11">
        <v>3</v>
      </c>
      <c r="B7" s="11">
        <f t="shared" ca="1" si="0"/>
        <v>1</v>
      </c>
      <c r="C7" s="11">
        <f t="shared" ca="1" si="1"/>
        <v>8</v>
      </c>
      <c r="D7" s="14" cm="1">
        <f t="array" aca="1" ref="D7" ca="1">_xlfn.RANDARRAY(1,1,0,0.3,FALSE)</f>
        <v>0.13218704577774393</v>
      </c>
      <c r="E7" s="15" cm="1">
        <f t="array" aca="1" ref="E7" ca="1">RANDBETWEEN("01/01/2020",TODAY())+_xlfn.RANDARRAY(1,1,1,59.03,FALSE)</f>
        <v>44291.901000195787</v>
      </c>
      <c r="F7" s="11" t="s">
        <v>184</v>
      </c>
      <c r="G7" s="11">
        <f t="shared" ca="1" si="2"/>
        <v>30</v>
      </c>
    </row>
    <row r="8" spans="1:7" x14ac:dyDescent="0.25">
      <c r="A8" s="11">
        <v>4</v>
      </c>
      <c r="B8" s="11">
        <f t="shared" ca="1" si="0"/>
        <v>1</v>
      </c>
      <c r="C8" s="11">
        <f t="shared" ca="1" si="1"/>
        <v>17</v>
      </c>
      <c r="D8" s="14" cm="1">
        <f t="array" aca="1" ref="D8" ca="1">_xlfn.RANDARRAY(1,1,0,0.3,FALSE)</f>
        <v>0.12030279279068645</v>
      </c>
      <c r="E8" s="15" cm="1">
        <f t="array" aca="1" ref="E8" ca="1">RANDBETWEEN("01/01/2020",TODAY())+_xlfn.RANDARRAY(1,1,1,59.03,FALSE)</f>
        <v>44287.953015429244</v>
      </c>
      <c r="F8" s="11" t="s">
        <v>182</v>
      </c>
      <c r="G8" s="11">
        <f t="shared" ca="1" si="2"/>
        <v>27</v>
      </c>
    </row>
    <row r="9" spans="1:7" x14ac:dyDescent="0.25">
      <c r="A9" s="11">
        <v>5</v>
      </c>
      <c r="B9" s="11">
        <f t="shared" ca="1" si="0"/>
        <v>2</v>
      </c>
      <c r="C9" s="11">
        <f t="shared" ca="1" si="1"/>
        <v>5</v>
      </c>
      <c r="D9" s="14" cm="1">
        <f t="array" aca="1" ref="D9" ca="1">_xlfn.RANDARRAY(1,1,0,0.3,FALSE)</f>
        <v>6.5256510362889542E-2</v>
      </c>
      <c r="E9" s="15" cm="1">
        <f t="array" aca="1" ref="E9" ca="1">RANDBETWEEN("01/01/2020",TODAY())+_xlfn.RANDARRAY(1,1,1,59.03,FALSE)</f>
        <v>44257.426150185274</v>
      </c>
      <c r="F9" s="11" t="s">
        <v>184</v>
      </c>
      <c r="G9" s="11">
        <f t="shared" ca="1" si="2"/>
        <v>100</v>
      </c>
    </row>
    <row r="10" spans="1:7" ht="15" customHeight="1" x14ac:dyDescent="0.25">
      <c r="A10" s="11">
        <v>6</v>
      </c>
      <c r="B10" s="11">
        <f t="shared" ca="1" si="0"/>
        <v>6</v>
      </c>
      <c r="C10" s="11">
        <f t="shared" ca="1" si="1"/>
        <v>5</v>
      </c>
      <c r="D10" s="14" cm="1">
        <f t="array" aca="1" ref="D10" ca="1">_xlfn.RANDARRAY(1,1,0,0.3,FALSE)</f>
        <v>5.258705359584892E-3</v>
      </c>
      <c r="E10" s="15" cm="1">
        <f t="array" aca="1" ref="E10" ca="1">RANDBETWEEN("01/01/2020",TODAY())+_xlfn.RANDARRAY(1,1,1,59.03,FALSE)</f>
        <v>44850.498201336435</v>
      </c>
      <c r="F10" s="11" t="s">
        <v>184</v>
      </c>
      <c r="G10" s="11">
        <f t="shared" ca="1" si="2"/>
        <v>100</v>
      </c>
    </row>
    <row r="11" spans="1:7" ht="15" customHeight="1" x14ac:dyDescent="0.25">
      <c r="A11" s="11">
        <v>7</v>
      </c>
      <c r="B11" s="11">
        <f t="shared" ca="1" si="0"/>
        <v>4</v>
      </c>
      <c r="C11" s="11">
        <f t="shared" ca="1" si="1"/>
        <v>4</v>
      </c>
      <c r="D11" s="14" cm="1">
        <f t="array" aca="1" ref="D11" ca="1">_xlfn.RANDARRAY(1,1,0,0.3,FALSE)</f>
        <v>0.12669539567264421</v>
      </c>
      <c r="E11" s="15" cm="1">
        <f t="array" aca="1" ref="E11" ca="1">RANDBETWEEN("01/01/2020",TODAY())+_xlfn.RANDARRAY(1,1,1,59.03,FALSE)</f>
        <v>44278.824059211649</v>
      </c>
      <c r="F11" s="11" t="s">
        <v>184</v>
      </c>
      <c r="G11" s="11">
        <f t="shared" ca="1" si="2"/>
        <v>88</v>
      </c>
    </row>
    <row r="12" spans="1:7" x14ac:dyDescent="0.25">
      <c r="A12" s="11">
        <v>8</v>
      </c>
      <c r="B12" s="11">
        <f t="shared" ca="1" si="0"/>
        <v>10</v>
      </c>
      <c r="C12" s="11">
        <f t="shared" ca="1" si="1"/>
        <v>3</v>
      </c>
      <c r="D12" s="14" cm="1">
        <f t="array" aca="1" ref="D12" ca="1">_xlfn.RANDARRAY(1,1,0,0.3,FALSE)</f>
        <v>0.17950234801102316</v>
      </c>
      <c r="E12" s="15" cm="1">
        <f t="array" aca="1" ref="E12" ca="1">RANDBETWEEN("01/01/2020",TODAY())+_xlfn.RANDARRAY(1,1,1,59.03,FALSE)</f>
        <v>44866.611387614132</v>
      </c>
      <c r="F12" s="11" t="s">
        <v>182</v>
      </c>
      <c r="G12" s="11">
        <f t="shared" ca="1" si="2"/>
        <v>16</v>
      </c>
    </row>
    <row r="13" spans="1:7" x14ac:dyDescent="0.25">
      <c r="A13" s="11">
        <v>9</v>
      </c>
      <c r="B13" s="11">
        <f t="shared" ca="1" si="0"/>
        <v>2</v>
      </c>
      <c r="C13" s="11">
        <f t="shared" ca="1" si="1"/>
        <v>16</v>
      </c>
      <c r="D13" s="14" cm="1">
        <f t="array" aca="1" ref="D13" ca="1">_xlfn.RANDARRAY(1,1,0,0.3,FALSE)</f>
        <v>3.4843868647110088E-2</v>
      </c>
      <c r="E13" s="15" cm="1">
        <f t="array" aca="1" ref="E13" ca="1">RANDBETWEEN("01/01/2020",TODAY())+_xlfn.RANDARRAY(1,1,1,59.03,FALSE)</f>
        <v>44378.026584779524</v>
      </c>
      <c r="F13" s="11" t="s">
        <v>182</v>
      </c>
      <c r="G13" s="11">
        <f t="shared" ca="1" si="2"/>
        <v>77</v>
      </c>
    </row>
    <row r="14" spans="1:7" ht="15" customHeight="1" x14ac:dyDescent="0.25">
      <c r="A14" s="11">
        <v>10</v>
      </c>
      <c r="B14" s="11">
        <f t="shared" ca="1" si="0"/>
        <v>2</v>
      </c>
      <c r="C14" s="11">
        <f t="shared" ca="1" si="1"/>
        <v>7</v>
      </c>
      <c r="D14" s="14" cm="1">
        <f t="array" aca="1" ref="D14" ca="1">_xlfn.RANDARRAY(1,1,0,0.3,FALSE)</f>
        <v>1.2947780786185692E-2</v>
      </c>
      <c r="E14" s="15" cm="1">
        <f t="array" aca="1" ref="E14" ca="1">RANDBETWEEN("01/01/2020",TODAY())+_xlfn.RANDARRAY(1,1,1,59.03,FALSE)</f>
        <v>44359.146540598507</v>
      </c>
      <c r="F14" s="11" t="s">
        <v>184</v>
      </c>
      <c r="G14" s="11">
        <f t="shared" ca="1" si="2"/>
        <v>96</v>
      </c>
    </row>
    <row r="15" spans="1:7" ht="15" customHeight="1" x14ac:dyDescent="0.25">
      <c r="A15" s="11">
        <v>11</v>
      </c>
      <c r="B15" s="11">
        <f t="shared" ca="1" si="0"/>
        <v>7</v>
      </c>
      <c r="C15" s="11">
        <f t="shared" ca="1" si="1"/>
        <v>4</v>
      </c>
      <c r="D15" s="14" cm="1">
        <f t="array" aca="1" ref="D15" ca="1">_xlfn.RANDARRAY(1,1,0,0.3,FALSE)</f>
        <v>1.6601977163372306E-2</v>
      </c>
      <c r="E15" s="15" cm="1">
        <f t="array" aca="1" ref="E15" ca="1">RANDBETWEEN("01/01/2020",TODAY())+_xlfn.RANDARRAY(1,1,1,59.03,FALSE)</f>
        <v>44234.18465743542</v>
      </c>
      <c r="F15" s="11" t="s">
        <v>183</v>
      </c>
      <c r="G15" s="11">
        <f t="shared" ca="1" si="2"/>
        <v>10</v>
      </c>
    </row>
    <row r="16" spans="1:7" x14ac:dyDescent="0.25">
      <c r="A16" s="11">
        <v>12</v>
      </c>
      <c r="B16" s="11">
        <f t="shared" ca="1" si="0"/>
        <v>9</v>
      </c>
      <c r="C16" s="11">
        <f t="shared" ca="1" si="1"/>
        <v>14</v>
      </c>
      <c r="D16" s="14" cm="1">
        <f t="array" aca="1" ref="D16" ca="1">_xlfn.RANDARRAY(1,1,0,0.3,FALSE)</f>
        <v>0.26874488461638313</v>
      </c>
      <c r="E16" s="15" cm="1">
        <f t="array" aca="1" ref="E16" ca="1">RANDBETWEEN("01/01/2020",TODAY())+_xlfn.RANDARRAY(1,1,1,59.03,FALSE)</f>
        <v>44599.518784460706</v>
      </c>
      <c r="F16" s="11" t="s">
        <v>184</v>
      </c>
      <c r="G16" s="11">
        <f t="shared" ca="1" si="2"/>
        <v>54</v>
      </c>
    </row>
  </sheetData>
  <mergeCells count="1">
    <mergeCell ref="A1:G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A8FCE-70EE-CC44-B358-14FCD0D8D614}">
  <sheetPr codeName="Feuil9"/>
  <dimension ref="A1:C14"/>
  <sheetViews>
    <sheetView workbookViewId="0">
      <selection sqref="A1:C3"/>
    </sheetView>
  </sheetViews>
  <sheetFormatPr baseColWidth="10" defaultRowHeight="15" x14ac:dyDescent="0.25"/>
  <sheetData>
    <row r="1" spans="1:3" x14ac:dyDescent="0.25">
      <c r="A1" s="34" t="s">
        <v>187</v>
      </c>
      <c r="B1" s="35"/>
      <c r="C1" s="36"/>
    </row>
    <row r="2" spans="1:3" x14ac:dyDescent="0.25">
      <c r="A2" s="37"/>
      <c r="B2" s="38"/>
      <c r="C2" s="39"/>
    </row>
    <row r="3" spans="1:3" x14ac:dyDescent="0.25">
      <c r="A3" s="40"/>
      <c r="B3" s="41"/>
      <c r="C3" s="42"/>
    </row>
    <row r="4" spans="1:3" x14ac:dyDescent="0.25">
      <c r="A4" s="9" t="s">
        <v>76</v>
      </c>
      <c r="B4" s="4" t="s">
        <v>186</v>
      </c>
      <c r="C4" s="10" t="s">
        <v>167</v>
      </c>
    </row>
    <row r="5" spans="1:3" x14ac:dyDescent="0.25">
      <c r="A5" s="11">
        <v>1</v>
      </c>
      <c r="B5" s="11">
        <v>1</v>
      </c>
      <c r="C5" s="11">
        <f ca="1">RANDBETWEEN(1, 7)</f>
        <v>1</v>
      </c>
    </row>
    <row r="6" spans="1:3" x14ac:dyDescent="0.25">
      <c r="A6" s="11">
        <v>2</v>
      </c>
      <c r="B6" s="11">
        <v>2</v>
      </c>
      <c r="C6" s="11">
        <f t="shared" ref="C6:C14" ca="1" si="0">RANDBETWEEN(1, 7)</f>
        <v>3</v>
      </c>
    </row>
    <row r="7" spans="1:3" x14ac:dyDescent="0.25">
      <c r="A7" s="11">
        <v>3</v>
      </c>
      <c r="B7" s="11">
        <v>3</v>
      </c>
      <c r="C7" s="11">
        <f t="shared" ca="1" si="0"/>
        <v>1</v>
      </c>
    </row>
    <row r="8" spans="1:3" x14ac:dyDescent="0.25">
      <c r="A8" s="11">
        <v>4</v>
      </c>
      <c r="B8" s="11">
        <v>4</v>
      </c>
      <c r="C8" s="11">
        <f t="shared" ca="1" si="0"/>
        <v>1</v>
      </c>
    </row>
    <row r="9" spans="1:3" x14ac:dyDescent="0.25">
      <c r="A9" s="11">
        <v>5</v>
      </c>
      <c r="B9" s="11">
        <v>5</v>
      </c>
      <c r="C9" s="11">
        <f t="shared" ca="1" si="0"/>
        <v>7</v>
      </c>
    </row>
    <row r="10" spans="1:3" x14ac:dyDescent="0.25">
      <c r="A10" s="11">
        <v>6</v>
      </c>
      <c r="B10" s="11">
        <v>6</v>
      </c>
      <c r="C10" s="11">
        <f t="shared" ca="1" si="0"/>
        <v>1</v>
      </c>
    </row>
    <row r="11" spans="1:3" x14ac:dyDescent="0.25">
      <c r="A11" s="11">
        <v>7</v>
      </c>
      <c r="B11" s="11">
        <v>7</v>
      </c>
      <c r="C11" s="11">
        <f t="shared" ca="1" si="0"/>
        <v>2</v>
      </c>
    </row>
    <row r="12" spans="1:3" x14ac:dyDescent="0.25">
      <c r="A12" s="11">
        <v>8</v>
      </c>
      <c r="B12" s="11">
        <v>8</v>
      </c>
      <c r="C12" s="11">
        <f t="shared" ca="1" si="0"/>
        <v>1</v>
      </c>
    </row>
    <row r="13" spans="1:3" x14ac:dyDescent="0.25">
      <c r="A13" s="11">
        <v>9</v>
      </c>
      <c r="B13" s="11">
        <v>9</v>
      </c>
      <c r="C13" s="11">
        <f t="shared" ca="1" si="0"/>
        <v>3</v>
      </c>
    </row>
    <row r="14" spans="1:3" x14ac:dyDescent="0.25">
      <c r="A14" s="11">
        <v>10</v>
      </c>
      <c r="B14" s="11">
        <v>10</v>
      </c>
      <c r="C14" s="11">
        <f t="shared" ca="1" si="0"/>
        <v>3</v>
      </c>
    </row>
  </sheetData>
  <mergeCells count="1">
    <mergeCell ref="A1:C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101E-DD1E-0E47-BB65-F9D65DCE6DE8}">
  <sheetPr codeName="Feuil10"/>
  <dimension ref="A1:C14"/>
  <sheetViews>
    <sheetView workbookViewId="0">
      <selection activeCell="O55" sqref="O55"/>
    </sheetView>
  </sheetViews>
  <sheetFormatPr baseColWidth="10" defaultRowHeight="15" x14ac:dyDescent="0.25"/>
  <sheetData>
    <row r="1" spans="1:3" x14ac:dyDescent="0.25">
      <c r="A1" s="48" t="s">
        <v>188</v>
      </c>
      <c r="B1" s="49"/>
      <c r="C1" s="50"/>
    </row>
    <row r="2" spans="1:3" x14ac:dyDescent="0.25">
      <c r="A2" s="51"/>
      <c r="B2" s="52"/>
      <c r="C2" s="53"/>
    </row>
    <row r="3" spans="1:3" x14ac:dyDescent="0.25">
      <c r="A3" s="54"/>
      <c r="B3" s="55"/>
      <c r="C3" s="56"/>
    </row>
    <row r="4" spans="1:3" x14ac:dyDescent="0.25">
      <c r="A4" s="6" t="s">
        <v>76</v>
      </c>
      <c r="B4" s="5" t="s">
        <v>186</v>
      </c>
      <c r="C4" s="7" t="s">
        <v>167</v>
      </c>
    </row>
    <row r="5" spans="1:3" x14ac:dyDescent="0.25">
      <c r="A5" s="8">
        <v>1</v>
      </c>
      <c r="B5" s="8">
        <v>1</v>
      </c>
      <c r="C5" s="8">
        <v>1</v>
      </c>
    </row>
    <row r="6" spans="1:3" x14ac:dyDescent="0.25">
      <c r="A6" s="8">
        <v>2</v>
      </c>
      <c r="B6" s="8">
        <v>2</v>
      </c>
      <c r="C6" s="8">
        <v>6</v>
      </c>
    </row>
    <row r="7" spans="1:3" x14ac:dyDescent="0.25">
      <c r="A7" s="8">
        <v>3</v>
      </c>
      <c r="B7" s="8">
        <v>3</v>
      </c>
      <c r="C7" s="8">
        <v>4</v>
      </c>
    </row>
    <row r="8" spans="1:3" x14ac:dyDescent="0.25">
      <c r="A8" s="8">
        <v>4</v>
      </c>
      <c r="B8" s="8">
        <v>4</v>
      </c>
      <c r="C8" s="8">
        <v>4</v>
      </c>
    </row>
    <row r="9" spans="1:3" x14ac:dyDescent="0.25">
      <c r="A9" s="8">
        <v>5</v>
      </c>
      <c r="B9" s="8">
        <v>5</v>
      </c>
      <c r="C9" s="8">
        <v>1</v>
      </c>
    </row>
    <row r="10" spans="1:3" x14ac:dyDescent="0.25">
      <c r="A10" s="8">
        <v>6</v>
      </c>
      <c r="B10" s="8">
        <v>6</v>
      </c>
      <c r="C10" s="8">
        <v>4</v>
      </c>
    </row>
    <row r="11" spans="1:3" x14ac:dyDescent="0.25">
      <c r="A11" s="8">
        <v>7</v>
      </c>
      <c r="B11" s="8">
        <v>7</v>
      </c>
      <c r="C11" s="8">
        <v>3</v>
      </c>
    </row>
    <row r="12" spans="1:3" x14ac:dyDescent="0.25">
      <c r="A12" s="8">
        <v>8</v>
      </c>
      <c r="B12" s="8">
        <v>8</v>
      </c>
      <c r="C12" s="8">
        <v>4</v>
      </c>
    </row>
    <row r="13" spans="1:3" x14ac:dyDescent="0.25">
      <c r="A13" s="8">
        <v>9</v>
      </c>
      <c r="B13" s="8">
        <v>9</v>
      </c>
      <c r="C13" s="8">
        <v>3</v>
      </c>
    </row>
    <row r="14" spans="1:3" x14ac:dyDescent="0.25">
      <c r="A14" s="8">
        <v>10</v>
      </c>
      <c r="B14" s="8">
        <v>10</v>
      </c>
      <c r="C14" s="8">
        <v>2</v>
      </c>
    </row>
  </sheetData>
  <mergeCells count="1">
    <mergeCell ref="A1:C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BB3AB-14E2-4CFF-8D52-3DDBCAE7BC30}">
  <sheetPr codeName="Feuil13"/>
  <dimension ref="A1:C16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48" t="s">
        <v>232</v>
      </c>
      <c r="B1" s="49"/>
      <c r="C1" s="50"/>
    </row>
    <row r="2" spans="1:3" x14ac:dyDescent="0.25">
      <c r="A2" s="51"/>
      <c r="B2" s="52"/>
      <c r="C2" s="53"/>
    </row>
    <row r="3" spans="1:3" x14ac:dyDescent="0.25">
      <c r="A3" s="54"/>
      <c r="B3" s="55"/>
      <c r="C3" s="56"/>
    </row>
    <row r="4" spans="1:3" x14ac:dyDescent="0.25">
      <c r="A4" s="23" t="s">
        <v>76</v>
      </c>
      <c r="B4" s="23" t="s">
        <v>186</v>
      </c>
      <c r="C4" s="23" t="s">
        <v>233</v>
      </c>
    </row>
    <row r="5" spans="1:3" x14ac:dyDescent="0.25">
      <c r="A5" s="11">
        <v>1</v>
      </c>
      <c r="B5" s="11">
        <v>1</v>
      </c>
      <c r="C5" s="11">
        <v>1</v>
      </c>
    </row>
    <row r="6" spans="1:3" x14ac:dyDescent="0.25">
      <c r="A6" s="11">
        <v>2</v>
      </c>
      <c r="B6" s="11">
        <v>2</v>
      </c>
      <c r="C6" s="11">
        <v>2</v>
      </c>
    </row>
    <row r="7" spans="1:3" x14ac:dyDescent="0.25">
      <c r="A7" s="11">
        <v>3</v>
      </c>
      <c r="B7" s="11">
        <v>3</v>
      </c>
      <c r="C7" s="11">
        <v>4</v>
      </c>
    </row>
    <row r="8" spans="1:3" x14ac:dyDescent="0.25">
      <c r="A8" s="11">
        <v>4</v>
      </c>
      <c r="B8" s="11">
        <v>4</v>
      </c>
      <c r="C8" s="11">
        <v>6</v>
      </c>
    </row>
    <row r="9" spans="1:3" x14ac:dyDescent="0.25">
      <c r="A9" s="11">
        <v>5</v>
      </c>
      <c r="B9" s="11">
        <v>5</v>
      </c>
      <c r="C9" s="11">
        <v>5</v>
      </c>
    </row>
    <row r="10" spans="1:3" x14ac:dyDescent="0.25">
      <c r="A10" s="11">
        <v>6</v>
      </c>
      <c r="B10" s="11">
        <v>6</v>
      </c>
      <c r="C10" s="11">
        <v>7</v>
      </c>
    </row>
    <row r="11" spans="1:3" x14ac:dyDescent="0.25">
      <c r="A11" s="11">
        <v>7</v>
      </c>
      <c r="B11" s="11">
        <v>7</v>
      </c>
      <c r="C11" s="11">
        <v>8</v>
      </c>
    </row>
    <row r="12" spans="1:3" x14ac:dyDescent="0.25">
      <c r="A12" s="11">
        <v>8</v>
      </c>
      <c r="B12" s="11">
        <v>7</v>
      </c>
      <c r="C12" s="11">
        <v>9</v>
      </c>
    </row>
    <row r="13" spans="1:3" x14ac:dyDescent="0.25">
      <c r="A13" s="11">
        <v>9</v>
      </c>
      <c r="B13" s="11">
        <v>8</v>
      </c>
      <c r="C13" s="11">
        <v>8</v>
      </c>
    </row>
    <row r="14" spans="1:3" x14ac:dyDescent="0.25">
      <c r="A14" s="11">
        <v>10</v>
      </c>
      <c r="B14" s="11">
        <v>8</v>
      </c>
      <c r="C14" s="11">
        <v>9</v>
      </c>
    </row>
    <row r="15" spans="1:3" x14ac:dyDescent="0.25">
      <c r="A15" s="11">
        <v>11</v>
      </c>
      <c r="B15" s="11">
        <v>9</v>
      </c>
      <c r="C15" s="11">
        <v>10</v>
      </c>
    </row>
    <row r="16" spans="1:3" x14ac:dyDescent="0.25">
      <c r="A16" s="11">
        <v>12</v>
      </c>
      <c r="B16" s="11">
        <v>10</v>
      </c>
      <c r="C16" s="11">
        <v>11</v>
      </c>
    </row>
  </sheetData>
  <mergeCells count="1">
    <mergeCell ref="A1:C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7E0D-7499-4B7C-B7D1-9F516F26FDA8}">
  <sheetPr codeName="Feuil12"/>
  <dimension ref="A1:C15"/>
  <sheetViews>
    <sheetView tabSelected="1" workbookViewId="0">
      <selection activeCell="J17" sqref="J17"/>
    </sheetView>
  </sheetViews>
  <sheetFormatPr baseColWidth="10" defaultRowHeight="15" x14ac:dyDescent="0.25"/>
  <sheetData>
    <row r="1" spans="1:3" x14ac:dyDescent="0.25">
      <c r="A1" s="48" t="s">
        <v>234</v>
      </c>
      <c r="B1" s="49"/>
      <c r="C1" s="50"/>
    </row>
    <row r="2" spans="1:3" x14ac:dyDescent="0.25">
      <c r="A2" s="51"/>
      <c r="B2" s="52"/>
      <c r="C2" s="53"/>
    </row>
    <row r="3" spans="1:3" x14ac:dyDescent="0.25">
      <c r="A3" s="54"/>
      <c r="B3" s="55"/>
      <c r="C3" s="56"/>
    </row>
    <row r="4" spans="1:3" x14ac:dyDescent="0.25">
      <c r="A4" s="23" t="s">
        <v>76</v>
      </c>
      <c r="B4" s="23" t="s">
        <v>175</v>
      </c>
      <c r="C4" s="23" t="s">
        <v>233</v>
      </c>
    </row>
    <row r="5" spans="1:3" x14ac:dyDescent="0.25">
      <c r="A5" s="11">
        <v>1</v>
      </c>
      <c r="B5" s="11">
        <v>1</v>
      </c>
      <c r="C5" s="11">
        <v>3</v>
      </c>
    </row>
    <row r="6" spans="1:3" x14ac:dyDescent="0.25">
      <c r="A6" s="11">
        <v>2</v>
      </c>
      <c r="B6" s="11">
        <v>1</v>
      </c>
      <c r="C6" s="11">
        <v>12</v>
      </c>
    </row>
    <row r="7" spans="1:3" x14ac:dyDescent="0.25">
      <c r="A7" s="11">
        <v>3</v>
      </c>
      <c r="B7" s="11">
        <v>2</v>
      </c>
      <c r="C7" s="11">
        <v>13</v>
      </c>
    </row>
    <row r="8" spans="1:3" x14ac:dyDescent="0.25">
      <c r="A8" s="11">
        <v>4</v>
      </c>
      <c r="B8" s="11">
        <v>3</v>
      </c>
      <c r="C8" s="11">
        <v>14</v>
      </c>
    </row>
    <row r="9" spans="1:3" x14ac:dyDescent="0.25">
      <c r="A9" s="11">
        <v>5</v>
      </c>
      <c r="B9" s="11">
        <v>4</v>
      </c>
      <c r="C9" s="19">
        <v>16</v>
      </c>
    </row>
    <row r="10" spans="1:3" x14ac:dyDescent="0.25">
      <c r="A10" s="11">
        <v>6</v>
      </c>
      <c r="B10" s="11">
        <v>5</v>
      </c>
      <c r="C10" s="19">
        <v>18</v>
      </c>
    </row>
    <row r="11" spans="1:3" x14ac:dyDescent="0.25">
      <c r="A11" s="11">
        <v>7</v>
      </c>
      <c r="B11" s="11">
        <v>6</v>
      </c>
      <c r="C11" s="19">
        <v>19</v>
      </c>
    </row>
    <row r="12" spans="1:3" x14ac:dyDescent="0.25">
      <c r="A12" s="11">
        <v>8</v>
      </c>
      <c r="B12" s="19">
        <v>7</v>
      </c>
      <c r="C12" s="19">
        <v>20</v>
      </c>
    </row>
    <row r="13" spans="1:3" x14ac:dyDescent="0.25">
      <c r="A13" s="11">
        <v>9</v>
      </c>
      <c r="B13" s="19">
        <v>8</v>
      </c>
      <c r="C13" s="19">
        <v>15</v>
      </c>
    </row>
    <row r="14" spans="1:3" x14ac:dyDescent="0.25">
      <c r="A14" s="11">
        <v>10</v>
      </c>
      <c r="B14" s="19">
        <v>9</v>
      </c>
      <c r="C14" s="19">
        <v>1</v>
      </c>
    </row>
    <row r="15" spans="1:3" x14ac:dyDescent="0.25">
      <c r="A15" s="11">
        <v>11</v>
      </c>
      <c r="B15" s="19">
        <v>10</v>
      </c>
      <c r="C15" s="19">
        <v>3</v>
      </c>
    </row>
  </sheetData>
  <mergeCells count="1">
    <mergeCell ref="A1:C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utilisateur</vt:lpstr>
      <vt:lpstr>movie</vt:lpstr>
      <vt:lpstr>actor</vt:lpstr>
      <vt:lpstr>tv_show</vt:lpstr>
      <vt:lpstr>platform</vt:lpstr>
      <vt:lpstr>subscription</vt:lpstr>
      <vt:lpstr>tv_show_viewing</vt:lpstr>
      <vt:lpstr>movie_viewing</vt:lpstr>
      <vt:lpstr>movie_disponibility</vt:lpstr>
      <vt:lpstr>tv_show_disponibility</vt:lpstr>
      <vt:lpstr>play_in_movie</vt:lpstr>
      <vt:lpstr>play_in_tv_show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superneiluj</dc:creator>
  <cp:keywords/>
  <dc:description/>
  <cp:lastModifiedBy>superneiluj</cp:lastModifiedBy>
  <dcterms:created xsi:type="dcterms:W3CDTF">2022-09-20T18:05:26Z</dcterms:created>
  <dcterms:modified xsi:type="dcterms:W3CDTF">2022-09-23T18:39:24Z</dcterms:modified>
  <cp:category/>
</cp:coreProperties>
</file>
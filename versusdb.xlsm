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3805794D-12E8-451E-91E1-B9A47B12A490}" xr6:coauthVersionLast="47" xr6:coauthVersionMax="47" xr10:uidLastSave="{00000000-0000-0000-0000-000000000000}"/>
  <bookViews>
    <workbookView xWindow="-38520" yWindow="-120" windowWidth="38640" windowHeight="21120" activeTab="11" xr2:uid="{4482357D-AA15-4A1D-9F09-EC0FB78133B6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  <sheet name="play_in_movie" sheetId="13" r:id="rId11"/>
    <sheet name="play_in_tv_show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8" l="1"/>
  <c r="C7" i="8"/>
  <c r="C8" i="8"/>
  <c r="C9" i="8"/>
  <c r="C10" i="8"/>
  <c r="C11" i="8"/>
  <c r="C12" i="8"/>
  <c r="C13" i="8"/>
  <c r="C14" i="8"/>
  <c r="C5" i="8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16" i="7" a="1"/>
  <c r="D16" i="7" s="1"/>
  <c r="D5" i="7" a="1"/>
  <c r="D5" i="7" s="1"/>
  <c r="E15" i="7" a="1"/>
  <c r="E15" i="7" s="1"/>
  <c r="G15" i="7"/>
  <c r="E16" i="7" a="1"/>
  <c r="E16" i="7" s="1"/>
  <c r="G16" i="7"/>
  <c r="G11" i="7"/>
  <c r="G12" i="7"/>
  <c r="G13" i="7"/>
  <c r="G14" i="7"/>
  <c r="C16" i="7"/>
  <c r="B16" i="7"/>
  <c r="C15" i="7"/>
  <c r="B15" i="7"/>
  <c r="E14" i="7" a="1"/>
  <c r="E14" i="7" s="1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G10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5" i="6" a="1"/>
  <c r="E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16" i="6" a="1"/>
  <c r="D16" i="6" s="1"/>
  <c r="D5" i="6" a="1"/>
  <c r="D5" i="6" s="1"/>
  <c r="I6" i="6"/>
  <c r="I7" i="6"/>
  <c r="I8" i="6"/>
  <c r="I9" i="6"/>
  <c r="I10" i="6"/>
  <c r="I11" i="6"/>
  <c r="I12" i="6"/>
  <c r="I13" i="6"/>
  <c r="I14" i="6"/>
  <c r="I15" i="6"/>
  <c r="I16" i="6"/>
  <c r="I5" i="6"/>
  <c r="H6" i="6"/>
  <c r="H7" i="6"/>
  <c r="H8" i="6"/>
  <c r="H9" i="6"/>
  <c r="H10" i="6"/>
  <c r="H11" i="6"/>
  <c r="H12" i="6"/>
  <c r="H13" i="6"/>
  <c r="H14" i="6"/>
  <c r="H15" i="6"/>
  <c r="H16" i="6"/>
  <c r="H5" i="6"/>
  <c r="G6" i="6"/>
  <c r="G7" i="6"/>
  <c r="G8" i="6"/>
  <c r="G9" i="6"/>
  <c r="G10" i="6"/>
  <c r="G11" i="6"/>
  <c r="G12" i="6"/>
  <c r="G13" i="6"/>
  <c r="G14" i="6"/>
  <c r="G15" i="6"/>
  <c r="G16" i="6"/>
  <c r="G5" i="6"/>
  <c r="C6" i="6"/>
  <c r="C7" i="6"/>
  <c r="C8" i="6"/>
  <c r="C9" i="6"/>
  <c r="C10" i="6"/>
  <c r="C11" i="6"/>
  <c r="C12" i="6"/>
  <c r="C13" i="6"/>
  <c r="C14" i="6"/>
  <c r="C15" i="6"/>
  <c r="C16" i="6"/>
  <c r="C5" i="6"/>
  <c r="B6" i="6"/>
  <c r="B7" i="6"/>
  <c r="B8" i="6"/>
  <c r="B9" i="6"/>
  <c r="B10" i="6"/>
  <c r="B11" i="6"/>
  <c r="B12" i="6"/>
  <c r="B13" i="6"/>
  <c r="B14" i="6"/>
  <c r="B15" i="6"/>
  <c r="B16" i="6"/>
  <c r="B5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<sst xmlns="http://schemas.openxmlformats.org/spreadsheetml/2006/main" count="406" uniqueCount="248">
  <si>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</si>
  <si>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</si>
  <si>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</si>
  <si>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</si>
  <si>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</si>
  <si>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</si>
  <si>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</si>
  <si>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</si>
  <si>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</si>
  <si>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</si>
  <si>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</si>
  <si>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</si>
  <si>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</si>
  <si>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</si>
  <si>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</si>
  <si>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</si>
  <si>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</si>
  <si>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</si>
  <si>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</si>
  <si>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</si>
  <si>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</si>
  <si>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</si>
  <si>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</si>
  <si>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</si>
  <si>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</si>
  <si>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</si>
  <si>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</si>
  <si>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</si>
  <si>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</si>
  <si>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</si>
  <si>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</si>
  <si>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</si>
  <si>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clément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</si>
  <si>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</si>
  <si>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</si>
  <si>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</si>
  <si>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</si>
  <si>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</si>
  <si>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</si>
  <si>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</si>
  <si>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</si>
  <si>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</si>
  <si>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</si>
  <si>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</si>
  <si>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</si>
  <si>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</si>
  <si>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</si>
  <si>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</si>
  <si>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</si>
  <si>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</si>
  <si>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</si>
  <si>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</si>
  <si>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</si>
  <si>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</si>
  <si>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</si>
  <si>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</si>
  <si>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</si>
  <si>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</si>
  <si>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</si>
  <si>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</si>
  <si>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</si>
  <si>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</si>
  <si>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</si>
  <si>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</si>
  <si>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</si>
  <si>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</si>
  <si>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</si>
  <si>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</si>
  <si>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</si>
  <si>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</si>
  <si>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</si>
  <si>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</si>
  <si>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</si>
  <si>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</si>
  <si>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</si>
  <si>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</si>
  <si>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</si>
  <si>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</si>
  <si>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</si>
  <si>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</si>
  <si>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</si>
  <si>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</si>
  <si>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</si>
  <si>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</si>
  <si>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</si>
  <si>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</si>
  <si>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</si>
  <si>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</si>
  <si>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</si>
  <si>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</si>
  <si>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</si>
  <si>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</si>
  <si>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</si>
  <si>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</si>
  <si>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</si>
  <si>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</si>
  <si>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</si>
  <si>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</si>
  <si>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</si>
  <si>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</si>
  <si>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</si>
  <si>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</si>
  <si>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</si>
  <si>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</si>
  <si>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</si>
  <si>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</si>
  <si>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</si>
  <si>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voyage dans le temps</t>
  </si>
  <si>
    <t>psychopathe en vadrouille</t>
  </si>
  <si>
    <t>violence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</si>
  <si>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</si>
  <si>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</si>
  <si>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</si>
  <si>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</si>
  <si>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</si>
  <si>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</si>
  <si>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</si>
  <si>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</si>
  <si>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</si>
  <si>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</si>
  <si>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</si>
  <si>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</si>
  <si>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</si>
  <si>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</si>
  <si>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</si>
  <si>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</si>
  <si>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</si>
  <si>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</si>
  <si>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</si>
  <si>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</si>
  <si>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</si>
  <si>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</si>
  <si>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</si>
  <si>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</si>
  <si>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</si>
  <si>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</si>
  <si>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</si>
  <si>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</si>
  <si>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</si>
  <si>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</si>
  <si>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</si>
  <si>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</si>
  <si>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</si>
  <si>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</si>
  <si>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</si>
  <si>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</si>
  <si>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</si>
  <si>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</si>
  <si>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</si>
  <si>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</si>
  <si>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</si>
  <si>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</si>
  <si>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</si>
  <si>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</si>
  <si>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</si>
  <si>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</si>
  <si>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</si>
  <si>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</si>
  <si>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</si>
  <si>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</si>
  <si>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</si>
  <si>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</si>
  <si>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</si>
  <si>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mycanal</t>
  </si>
  <si>
    <t>ocs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</si>
  <si>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</si>
  <si>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</si>
  <si>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</si>
  <si>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</si>
  <si>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</si>
  <si>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</si>
  <si>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</si>
  <si>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</si>
  <si>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</si>
  <si>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</si>
  <si>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</si>
  <si>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</si>
  <si>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</si>
  <si>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</si>
  <si>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</si>
  <si>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</si>
  <si>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</si>
  <si>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</si>
  <si>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</si>
  <si>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</si>
  <si>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</si>
  <si>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</si>
  <si>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</si>
  <si>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</si>
  <si>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</si>
  <si>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</si>
  <si>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</si>
  <si>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</si>
  <si>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</si>
  <si>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</si>
  <si>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américain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</si>
  <si>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</si>
  <si>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</si>
  <si>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</si>
  <si>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</si>
  <si>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</si>
  <si>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</si>
  <si>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</si>
  <si>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</si>
  <si>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</si>
  <si>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</si>
  <si>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</si>
  <si>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</si>
  <si>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</si>
  <si>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</si>
  <si>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</si>
  <si>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</si>
  <si>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</si>
  <si>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</si>
  <si>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</si>
  <si>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</si>
  <si>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</si>
  <si>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</si>
  <si>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</si>
  <si>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</si>
  <si>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</si>
  <si>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</si>
  <si>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</si>
  <si>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</si>
  <si>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</si>
  <si>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</si>
  <si>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</si>
  <si>
    <t>disney</t>
  </si>
  <si>
    <t>appletv</t>
  </si>
  <si>
    <t>hache porte</t>
  </si>
  <si>
    <t>stylo gorge</t>
  </si>
  <si>
    <t>histoire d un mec qui rêve</t>
  </si>
  <si>
    <t>play_in_movie</t>
  </si>
  <si>
    <t>id_actor</t>
  </si>
  <si>
    <t>play_in_tv_show</t>
  </si>
  <si>
    <t>james</t>
  </si>
  <si>
    <t>gandolfini</t>
  </si>
  <si>
    <t>emilia</t>
  </si>
  <si>
    <t>clark</t>
  </si>
  <si>
    <t>britannique</t>
  </si>
  <si>
    <t>justin</t>
  </si>
  <si>
    <t>roiland</t>
  </si>
  <si>
    <t>17.99</t>
  </si>
  <si>
    <t>6.99</t>
  </si>
  <si>
    <t>8.99</t>
  </si>
  <si>
    <t>24.99</t>
  </si>
  <si>
    <t>10.99</t>
  </si>
  <si>
    <t>4.99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</si>
</sst>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0" fillId="0" borderId="2" xfId="0" applyNumberFormat="1" applyBorder="1"/>
    <xf numFmtId="0" fontId="1" fillId="4" borderId="2" xfId="0" applyFont="1" applyFill="1" applyBorder="1"/>
    <xf numFmtId="0" fontId="0" fillId="0" borderId="2" xfId="0" applyFill="1" applyBorder="1"/>
    <xf numFmtId="49" fontId="0" fillId="0" borderId="2" xfId="0" applyNumberFormat="1" applyBorder="1"/>
    <xf numFmtId="1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workbookViewId="0">
      <selection activeCell="A15" sqref="A15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28" t="s">
        <v>0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5.75" customHeight="1" x14ac:dyDescent="0.25">
      <c r="A3" s="31"/>
      <c r="B3" s="32"/>
      <c r="C3" s="32"/>
      <c r="D3" s="32"/>
      <c r="E3" s="32"/>
      <c r="F3" s="32"/>
      <c r="G3" s="32"/>
      <c r="H3" s="32"/>
      <c r="I3" s="33"/>
    </row>
    <row r="4" spans="1:9" x14ac:dyDescent="0.25">
      <c r="A4" s="20" t="s">
        <v>76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21" t="s">
        <v>7</v>
      </c>
    </row>
    <row r="5" spans="1:9" x14ac:dyDescent="0.25">
      <c r="A5" s="26">
        <v>1</v>
      </c>
      <c r="B5" s="25" t="s">
        <v>8</v>
      </c>
      <c r="C5" s="25" t="s">
        <v>25</v>
      </c>
      <c r="D5" s="25" t="s">
        <v>39</v>
      </c>
      <c r="E5" s="18" t="s">
        <v>41</v>
      </c>
      <c r="F5" s="22">
        <f ca="1">DATE(RANDBETWEEN(1995,2004),RANDBETWEEN(1,12),RANDBETWEEN(1,31))</f>
        <v>36391</v>
      </c>
      <c r="G5" s="18" t="s">
        <v>58</v>
      </c>
      <c r="H5" s="18" t="str">
        <f ca="1">CHAR(RAND()*26+65)&amp;CHAR(RAND()*26+65)&amp;CHAR(RAND()*26+65)&amp;CHAR(RAND()*10+48)&amp;CHAR(RAND()*10+48)&amp;CHAR(RAND()*26+97)&amp;CHAR(RAND()*26+97)&amp;CHAR(RAND()*26+97)</f>
        <v>XTZ02uvk</v>
      </c>
      <c r="I5" s="18" t="s">
        <v>75</v>
      </c>
    </row>
    <row r="6" spans="1:9" x14ac:dyDescent="0.25">
      <c r="A6" s="26">
        <v>2</v>
      </c>
      <c r="B6" s="25" t="s">
        <v>9</v>
      </c>
      <c r="C6" s="25" t="s">
        <v>26</v>
      </c>
      <c r="D6" s="25" t="s">
        <v>39</v>
      </c>
      <c r="E6" s="18" t="s">
        <v>42</v>
      </c>
      <c r="F6" s="22">
        <f t="shared" ref="F6:F10" ca="1" si="0">DATE(RANDBETWEEN(1995,2004),RANDBETWEEN(1,12),RANDBETWEEN(1,31))</f>
        <v>37718</v>
      </c>
      <c r="G6" s="18" t="s">
        <v>59</v>
      </c>
      <c r="H6" s="18" t="str">
        <f t="shared" ref="H6:H21" ca="1" si="1">CHAR(RAND()*26+65)&amp;CHAR(RAND()*26+65)&amp;CHAR(RAND()*26+65)&amp;CHAR(RAND()*10+48)&amp;CHAR(RAND()*10+48)&amp;CHAR(RAND()*26+97)&amp;CHAR(RAND()*26+97)&amp;CHAR(RAND()*26+97)</f>
        <v>XSE81xun</v>
      </c>
      <c r="I6" s="18" t="s">
        <v>75</v>
      </c>
    </row>
    <row r="7" spans="1:9" x14ac:dyDescent="0.25">
      <c r="A7" s="26">
        <v>3</v>
      </c>
      <c r="B7" s="25" t="s">
        <v>10</v>
      </c>
      <c r="C7" s="25" t="s">
        <v>27</v>
      </c>
      <c r="D7" s="25" t="s">
        <v>39</v>
      </c>
      <c r="E7" s="18" t="s">
        <v>43</v>
      </c>
      <c r="F7" s="22">
        <f t="shared" ca="1" si="0"/>
        <v>35895</v>
      </c>
      <c r="G7" s="18" t="s">
        <v>60</v>
      </c>
      <c r="H7" s="18" t="str">
        <f t="shared" ca="1" si="1"/>
        <v>ZPU82lyi</v>
      </c>
      <c r="I7" s="18" t="s">
        <v>75</v>
      </c>
    </row>
    <row r="8" spans="1:9" x14ac:dyDescent="0.25">
      <c r="A8" s="26">
        <v>4</v>
      </c>
      <c r="B8" s="25" t="s">
        <v>11</v>
      </c>
      <c r="C8" s="25" t="s">
        <v>28</v>
      </c>
      <c r="D8" s="25" t="s">
        <v>39</v>
      </c>
      <c r="E8" s="18" t="s">
        <v>44</v>
      </c>
      <c r="F8" s="22">
        <f t="shared" ca="1" si="0"/>
        <v>36736</v>
      </c>
      <c r="G8" s="18" t="s">
        <v>61</v>
      </c>
      <c r="H8" s="18" t="str">
        <f t="shared" ca="1" si="1"/>
        <v>ICQ41fqr</v>
      </c>
      <c r="I8" s="18" t="s">
        <v>75</v>
      </c>
    </row>
    <row r="9" spans="1:9" x14ac:dyDescent="0.25">
      <c r="A9" s="26">
        <v>5</v>
      </c>
      <c r="B9" s="25" t="s">
        <v>12</v>
      </c>
      <c r="C9" s="25" t="s">
        <v>29</v>
      </c>
      <c r="D9" s="25" t="s">
        <v>40</v>
      </c>
      <c r="E9" s="18" t="s">
        <v>45</v>
      </c>
      <c r="F9" s="22">
        <f t="shared" ca="1" si="0"/>
        <v>38155</v>
      </c>
      <c r="G9" s="18" t="s">
        <v>62</v>
      </c>
      <c r="H9" s="18" t="str">
        <f t="shared" ca="1" si="1"/>
        <v>ZQH60tqq</v>
      </c>
      <c r="I9" s="18" t="s">
        <v>75</v>
      </c>
    </row>
    <row r="10" spans="1:9" x14ac:dyDescent="0.25">
      <c r="A10" s="26">
        <v>6</v>
      </c>
      <c r="B10" s="25" t="s">
        <v>13</v>
      </c>
      <c r="C10" s="25" t="s">
        <v>31</v>
      </c>
      <c r="D10" s="25" t="s">
        <v>39</v>
      </c>
      <c r="E10" s="18" t="s">
        <v>46</v>
      </c>
      <c r="F10" s="22">
        <f t="shared" ca="1" si="0"/>
        <v>36010</v>
      </c>
      <c r="G10" s="18" t="s">
        <v>63</v>
      </c>
      <c r="H10" s="18" t="str">
        <f t="shared" ca="1" si="1"/>
        <v>OSR60tvo</v>
      </c>
      <c r="I10" s="18" t="s">
        <v>75</v>
      </c>
    </row>
    <row r="11" spans="1:9" x14ac:dyDescent="0.25">
      <c r="A11" s="26">
        <v>7</v>
      </c>
      <c r="B11" s="25" t="s">
        <v>14</v>
      </c>
      <c r="C11" s="25" t="s">
        <v>30</v>
      </c>
      <c r="D11" s="25" t="s">
        <v>39</v>
      </c>
      <c r="E11" s="18" t="s">
        <v>47</v>
      </c>
      <c r="F11" s="22">
        <f ca="1">DATE(RANDBETWEEN(1995,2004),RANDBETWEEN(1,12),RANDBETWEEN(1,31))</f>
        <v>36237</v>
      </c>
      <c r="G11" s="18" t="s">
        <v>64</v>
      </c>
      <c r="H11" s="18" t="str">
        <f t="shared" ca="1" si="1"/>
        <v>BCK09oxn</v>
      </c>
      <c r="I11" s="18" t="s">
        <v>75</v>
      </c>
    </row>
    <row r="12" spans="1:9" x14ac:dyDescent="0.25">
      <c r="A12" s="26">
        <v>8</v>
      </c>
      <c r="B12" s="25" t="s">
        <v>15</v>
      </c>
      <c r="C12" s="25" t="s">
        <v>32</v>
      </c>
      <c r="D12" s="25" t="s">
        <v>39</v>
      </c>
      <c r="E12" s="18" t="s">
        <v>48</v>
      </c>
      <c r="F12" s="22">
        <f t="shared" ref="F12:F21" ca="1" si="2">DATE(RANDBETWEEN(1995,2004),RANDBETWEEN(1,12),RANDBETWEEN(1,31))</f>
        <v>38313</v>
      </c>
      <c r="G12" s="18" t="s">
        <v>65</v>
      </c>
      <c r="H12" s="18" t="str">
        <f t="shared" ca="1" si="1"/>
        <v>URD09tgz</v>
      </c>
      <c r="I12" s="18" t="s">
        <v>75</v>
      </c>
    </row>
    <row r="13" spans="1:9" x14ac:dyDescent="0.25">
      <c r="A13" s="26">
        <v>9</v>
      </c>
      <c r="B13" s="25" t="s">
        <v>16</v>
      </c>
      <c r="C13" s="25" t="s">
        <v>33</v>
      </c>
      <c r="D13" s="25" t="s">
        <v>39</v>
      </c>
      <c r="E13" s="18" t="s">
        <v>49</v>
      </c>
      <c r="F13" s="22">
        <f t="shared" ca="1" si="2"/>
        <v>36663</v>
      </c>
      <c r="G13" s="18" t="s">
        <v>66</v>
      </c>
      <c r="H13" s="18" t="str">
        <f t="shared" ca="1" si="1"/>
        <v>HNS14swa</v>
      </c>
      <c r="I13" s="18" t="s">
        <v>75</v>
      </c>
    </row>
    <row r="14" spans="1:9" x14ac:dyDescent="0.25">
      <c r="A14" s="26">
        <v>10</v>
      </c>
      <c r="B14" s="25" t="s">
        <v>17</v>
      </c>
      <c r="C14" s="25" t="s">
        <v>32</v>
      </c>
      <c r="D14" s="25" t="s">
        <v>39</v>
      </c>
      <c r="E14" s="18" t="s">
        <v>50</v>
      </c>
      <c r="F14" s="22">
        <f t="shared" ca="1" si="2"/>
        <v>35809</v>
      </c>
      <c r="G14" s="18" t="s">
        <v>67</v>
      </c>
      <c r="H14" s="18" t="str">
        <f t="shared" ca="1" si="1"/>
        <v>BFB68kul</v>
      </c>
      <c r="I14" s="18" t="s">
        <v>75</v>
      </c>
    </row>
    <row r="15" spans="1:9" x14ac:dyDescent="0.25">
      <c r="A15" s="26">
        <v>11</v>
      </c>
      <c r="B15" s="25" t="s">
        <v>18</v>
      </c>
      <c r="C15" s="25" t="s">
        <v>34</v>
      </c>
      <c r="D15" s="25" t="s">
        <v>40</v>
      </c>
      <c r="E15" s="18" t="s">
        <v>51</v>
      </c>
      <c r="F15" s="22">
        <f t="shared" ca="1" si="2"/>
        <v>35146</v>
      </c>
      <c r="G15" s="18" t="s">
        <v>68</v>
      </c>
      <c r="H15" s="18" t="str">
        <f t="shared" ca="1" si="1"/>
        <v>KIE57whu</v>
      </c>
      <c r="I15" s="18" t="s">
        <v>75</v>
      </c>
    </row>
    <row r="16" spans="1:9" x14ac:dyDescent="0.25">
      <c r="A16" s="26">
        <v>12</v>
      </c>
      <c r="B16" s="25" t="s">
        <v>19</v>
      </c>
      <c r="C16" s="25" t="s">
        <v>26</v>
      </c>
      <c r="D16" s="25" t="s">
        <v>39</v>
      </c>
      <c r="E16" s="18" t="s">
        <v>52</v>
      </c>
      <c r="F16" s="22">
        <f t="shared" ca="1" si="2"/>
        <v>36610</v>
      </c>
      <c r="G16" s="18" t="s">
        <v>69</v>
      </c>
      <c r="H16" s="18" t="str">
        <f t="shared" ca="1" si="1"/>
        <v>PUU81bbn</v>
      </c>
      <c r="I16" s="18" t="s">
        <v>75</v>
      </c>
    </row>
    <row r="17" spans="1:9" x14ac:dyDescent="0.25">
      <c r="A17" s="26">
        <v>13</v>
      </c>
      <c r="B17" s="25" t="s">
        <v>20</v>
      </c>
      <c r="C17" s="25" t="s">
        <v>35</v>
      </c>
      <c r="D17" s="25" t="s">
        <v>39</v>
      </c>
      <c r="E17" s="18" t="s">
        <v>53</v>
      </c>
      <c r="F17" s="22">
        <f t="shared" ca="1" si="2"/>
        <v>34939</v>
      </c>
      <c r="G17" s="18" t="s">
        <v>70</v>
      </c>
      <c r="H17" s="18" t="str">
        <f t="shared" ca="1" si="1"/>
        <v>VVG36ggr</v>
      </c>
      <c r="I17" s="18" t="s">
        <v>75</v>
      </c>
    </row>
    <row r="18" spans="1:9" x14ac:dyDescent="0.25">
      <c r="A18" s="26">
        <v>14</v>
      </c>
      <c r="B18" s="25" t="s">
        <v>21</v>
      </c>
      <c r="C18" s="25" t="s">
        <v>36</v>
      </c>
      <c r="D18" s="25" t="s">
        <v>39</v>
      </c>
      <c r="E18" s="18" t="s">
        <v>54</v>
      </c>
      <c r="F18" s="22">
        <f t="shared" ca="1" si="2"/>
        <v>34773</v>
      </c>
      <c r="G18" s="18" t="s">
        <v>71</v>
      </c>
      <c r="H18" s="18" t="str">
        <f t="shared" ca="1" si="1"/>
        <v>LST45tod</v>
      </c>
      <c r="I18" s="18" t="s">
        <v>75</v>
      </c>
    </row>
    <row r="19" spans="1:9" x14ac:dyDescent="0.25">
      <c r="A19" s="26">
        <v>15</v>
      </c>
      <c r="B19" s="25" t="s">
        <v>22</v>
      </c>
      <c r="C19" s="25" t="s">
        <v>30</v>
      </c>
      <c r="D19" s="25" t="s">
        <v>39</v>
      </c>
      <c r="E19" s="18" t="s">
        <v>55</v>
      </c>
      <c r="F19" s="22">
        <f t="shared" ca="1" si="2"/>
        <v>38180</v>
      </c>
      <c r="G19" s="18" t="s">
        <v>72</v>
      </c>
      <c r="H19" s="18" t="str">
        <f t="shared" ca="1" si="1"/>
        <v>DBN01cff</v>
      </c>
      <c r="I19" s="18" t="s">
        <v>75</v>
      </c>
    </row>
    <row r="20" spans="1:9" x14ac:dyDescent="0.25">
      <c r="A20" s="26">
        <v>16</v>
      </c>
      <c r="B20" s="25" t="s">
        <v>23</v>
      </c>
      <c r="C20" s="25" t="s">
        <v>37</v>
      </c>
      <c r="D20" s="25" t="s">
        <v>39</v>
      </c>
      <c r="E20" s="18" t="s">
        <v>56</v>
      </c>
      <c r="F20" s="22">
        <f t="shared" ca="1" si="2"/>
        <v>36765</v>
      </c>
      <c r="G20" s="18" t="s">
        <v>73</v>
      </c>
      <c r="H20" s="18" t="str">
        <f t="shared" ca="1" si="1"/>
        <v>DSK28tla</v>
      </c>
      <c r="I20" s="18" t="s">
        <v>75</v>
      </c>
    </row>
    <row r="21" spans="1:9" x14ac:dyDescent="0.25">
      <c r="A21" s="26">
        <v>17</v>
      </c>
      <c r="B21" s="25" t="s">
        <v>24</v>
      </c>
      <c r="C21" s="25" t="s">
        <v>38</v>
      </c>
      <c r="D21" s="25" t="s">
        <v>39</v>
      </c>
      <c r="E21" s="18" t="s">
        <v>57</v>
      </c>
      <c r="F21" s="22">
        <f t="shared" ca="1" si="2"/>
        <v>36768</v>
      </c>
      <c r="G21" s="18" t="s">
        <v>74</v>
      </c>
      <c r="H21" s="18" t="str">
        <f t="shared" ca="1" si="1"/>
        <v>DZQ67aom</v>
      </c>
      <c r="I21" s="18" t="s">
        <v>75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4"/>
  <sheetViews>
    <sheetView workbookViewId="0">
      <selection activeCell="F24" sqref="F24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28" t="s">
        <v>78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76</v>
      </c>
      <c r="B4" s="2" t="s">
        <v>77</v>
      </c>
      <c r="C4" s="2" t="s">
        <v>79</v>
      </c>
      <c r="D4" s="2" t="s">
        <v>80</v>
      </c>
      <c r="E4" s="2" t="s">
        <v>81</v>
      </c>
      <c r="F4" s="2" t="s">
        <v>82</v>
      </c>
      <c r="G4" s="13" t="s">
        <v>83</v>
      </c>
    </row>
    <row r="5" spans="1:7" x14ac:dyDescent="0.25">
      <c r="A5" s="27">
        <v>1</v>
      </c>
      <c r="B5" s="11" t="s">
        <v>84</v>
      </c>
      <c r="C5" s="14">
        <v>0.1173611111111111</v>
      </c>
      <c r="D5" s="11" t="s">
        <v>94</v>
      </c>
      <c r="E5" s="11" t="s">
        <v>95</v>
      </c>
      <c r="F5" s="11" t="s">
        <v>106</v>
      </c>
      <c r="G5" s="11" t="s">
        <v>113</v>
      </c>
    </row>
    <row r="6" spans="1:7" x14ac:dyDescent="0.25">
      <c r="A6" s="27">
        <v>2</v>
      </c>
      <c r="B6" s="11" t="s">
        <v>85</v>
      </c>
      <c r="C6" s="14">
        <v>0.10277777777777779</v>
      </c>
      <c r="D6" s="11" t="s">
        <v>94</v>
      </c>
      <c r="E6" s="11" t="s">
        <v>95</v>
      </c>
      <c r="F6" s="11" t="s">
        <v>231</v>
      </c>
      <c r="G6" s="11" t="s">
        <v>113</v>
      </c>
    </row>
    <row r="7" spans="1:7" x14ac:dyDescent="0.25">
      <c r="A7" s="27">
        <v>3</v>
      </c>
      <c r="B7" s="11" t="s">
        <v>86</v>
      </c>
      <c r="C7" s="14">
        <v>0.10416666666666667</v>
      </c>
      <c r="D7" s="11" t="s">
        <v>94</v>
      </c>
      <c r="E7" s="11" t="s">
        <v>95</v>
      </c>
      <c r="F7" s="11" t="s">
        <v>107</v>
      </c>
      <c r="G7" s="11" t="s">
        <v>113</v>
      </c>
    </row>
    <row r="8" spans="1:7" x14ac:dyDescent="0.25">
      <c r="A8" s="27">
        <v>4</v>
      </c>
      <c r="B8" s="11" t="s">
        <v>87</v>
      </c>
      <c r="C8" s="14">
        <v>7.013888888888889E-2</v>
      </c>
      <c r="D8" s="11" t="s">
        <v>96</v>
      </c>
      <c r="E8" s="11" t="s">
        <v>97</v>
      </c>
      <c r="F8" s="11" t="s">
        <v>108</v>
      </c>
      <c r="G8" s="19" t="s">
        <v>114</v>
      </c>
    </row>
    <row r="9" spans="1:7" x14ac:dyDescent="0.25">
      <c r="A9" s="27">
        <v>5</v>
      </c>
      <c r="B9" s="11" t="s">
        <v>88</v>
      </c>
      <c r="C9" s="14">
        <v>8.2638888888888887E-2</v>
      </c>
      <c r="D9" s="11" t="s">
        <v>98</v>
      </c>
      <c r="E9" s="11" t="s">
        <v>99</v>
      </c>
      <c r="F9" s="11" t="s">
        <v>229</v>
      </c>
      <c r="G9" s="19" t="s">
        <v>115</v>
      </c>
    </row>
    <row r="10" spans="1:7" x14ac:dyDescent="0.25">
      <c r="A10" s="27">
        <v>6</v>
      </c>
      <c r="B10" s="11" t="s">
        <v>89</v>
      </c>
      <c r="C10" s="14">
        <v>9.4444444444444442E-2</v>
      </c>
      <c r="D10" s="11" t="s">
        <v>98</v>
      </c>
      <c r="E10" s="11" t="s">
        <v>99</v>
      </c>
      <c r="F10" s="11" t="s">
        <v>109</v>
      </c>
      <c r="G10" s="19" t="s">
        <v>114</v>
      </c>
    </row>
    <row r="11" spans="1:7" x14ac:dyDescent="0.25">
      <c r="A11" s="27">
        <v>7</v>
      </c>
      <c r="B11" s="11" t="s">
        <v>90</v>
      </c>
      <c r="C11" s="14">
        <v>0.1013888888888889</v>
      </c>
      <c r="D11" s="11" t="s">
        <v>100</v>
      </c>
      <c r="E11" s="11" t="s">
        <v>101</v>
      </c>
      <c r="F11" s="11" t="s">
        <v>110</v>
      </c>
      <c r="G11" s="19" t="s">
        <v>116</v>
      </c>
    </row>
    <row r="12" spans="1:7" x14ac:dyDescent="0.25">
      <c r="A12" s="27">
        <v>8</v>
      </c>
      <c r="B12" s="11" t="s">
        <v>91</v>
      </c>
      <c r="C12" s="14">
        <v>0.12361111111111112</v>
      </c>
      <c r="D12" s="11" t="s">
        <v>100</v>
      </c>
      <c r="E12" s="11" t="s">
        <v>101</v>
      </c>
      <c r="F12" s="11" t="s">
        <v>230</v>
      </c>
      <c r="G12" s="19" t="s">
        <v>116</v>
      </c>
    </row>
    <row r="13" spans="1:7" x14ac:dyDescent="0.25">
      <c r="A13" s="27">
        <v>9</v>
      </c>
      <c r="B13" s="11" t="s">
        <v>92</v>
      </c>
      <c r="C13" s="14">
        <v>9.7916666666666666E-2</v>
      </c>
      <c r="D13" s="11" t="s">
        <v>102</v>
      </c>
      <c r="E13" s="11" t="s">
        <v>103</v>
      </c>
      <c r="F13" s="11" t="s">
        <v>111</v>
      </c>
      <c r="G13" s="19" t="s">
        <v>113</v>
      </c>
    </row>
    <row r="14" spans="1:7" x14ac:dyDescent="0.25">
      <c r="A14" s="27">
        <v>10</v>
      </c>
      <c r="B14" s="11" t="s">
        <v>93</v>
      </c>
      <c r="C14" s="14">
        <v>8.2638888888888887E-2</v>
      </c>
      <c r="D14" s="11" t="s">
        <v>104</v>
      </c>
      <c r="E14" s="11" t="s">
        <v>105</v>
      </c>
      <c r="F14" s="11" t="s">
        <v>112</v>
      </c>
      <c r="G14" s="19" t="s">
        <v>113</v>
      </c>
    </row>
  </sheetData>
  <mergeCells count="1">
    <mergeCell ref="A1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4"/>
  <sheetViews>
    <sheetView workbookViewId="0">
      <selection activeCell="H10" sqref="H10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37" t="s">
        <v>192</v>
      </c>
      <c r="B1" s="38"/>
      <c r="C1" s="38"/>
      <c r="D1" s="38"/>
      <c r="E1" s="38"/>
      <c r="F1" s="39"/>
    </row>
    <row r="2" spans="1:6" x14ac:dyDescent="0.25">
      <c r="A2" s="40"/>
      <c r="B2" s="41"/>
      <c r="C2" s="41"/>
      <c r="D2" s="41"/>
      <c r="E2" s="41"/>
      <c r="F2" s="42"/>
    </row>
    <row r="3" spans="1:6" x14ac:dyDescent="0.25">
      <c r="A3" s="43"/>
      <c r="B3" s="44"/>
      <c r="C3" s="44"/>
      <c r="D3" s="44"/>
      <c r="E3" s="44"/>
      <c r="F3" s="45"/>
    </row>
    <row r="4" spans="1:6" x14ac:dyDescent="0.25">
      <c r="A4" s="16" t="s">
        <v>76</v>
      </c>
      <c r="B4" s="3" t="s">
        <v>77</v>
      </c>
      <c r="C4" s="3" t="s">
        <v>189</v>
      </c>
      <c r="D4" s="3" t="s">
        <v>190</v>
      </c>
      <c r="E4" s="3" t="s">
        <v>3</v>
      </c>
      <c r="F4" s="17" t="s">
        <v>191</v>
      </c>
    </row>
    <row r="5" spans="1:6" x14ac:dyDescent="0.25">
      <c r="A5" s="18">
        <v>1</v>
      </c>
      <c r="B5" s="18" t="s">
        <v>193</v>
      </c>
      <c r="C5" s="18" t="s">
        <v>194</v>
      </c>
      <c r="D5" s="18">
        <v>52</v>
      </c>
      <c r="E5" s="18" t="s">
        <v>39</v>
      </c>
      <c r="F5" s="18" t="s">
        <v>195</v>
      </c>
    </row>
    <row r="6" spans="1:6" x14ac:dyDescent="0.25">
      <c r="A6" s="18">
        <v>2</v>
      </c>
      <c r="B6" s="18" t="s">
        <v>196</v>
      </c>
      <c r="C6" s="18" t="s">
        <v>197</v>
      </c>
      <c r="D6" s="18">
        <v>47</v>
      </c>
      <c r="E6" s="18" t="s">
        <v>39</v>
      </c>
      <c r="F6" s="18" t="s">
        <v>195</v>
      </c>
    </row>
    <row r="7" spans="1:6" x14ac:dyDescent="0.25">
      <c r="A7" s="18">
        <v>3</v>
      </c>
      <c r="B7" s="18" t="s">
        <v>198</v>
      </c>
      <c r="C7" s="18" t="s">
        <v>199</v>
      </c>
      <c r="D7" s="18">
        <v>59</v>
      </c>
      <c r="E7" s="18" t="s">
        <v>39</v>
      </c>
      <c r="F7" s="18" t="s">
        <v>195</v>
      </c>
    </row>
    <row r="8" spans="1:6" x14ac:dyDescent="0.25">
      <c r="A8" s="18">
        <v>4</v>
      </c>
      <c r="B8" s="18" t="s">
        <v>200</v>
      </c>
      <c r="C8" s="18" t="s">
        <v>201</v>
      </c>
      <c r="D8" s="18">
        <v>38</v>
      </c>
      <c r="E8" s="18" t="s">
        <v>39</v>
      </c>
      <c r="F8" s="18" t="s">
        <v>195</v>
      </c>
    </row>
    <row r="9" spans="1:6" x14ac:dyDescent="0.25">
      <c r="A9" s="18">
        <v>5</v>
      </c>
      <c r="B9" s="18" t="s">
        <v>202</v>
      </c>
      <c r="C9" s="18" t="s">
        <v>203</v>
      </c>
      <c r="D9" s="18">
        <v>85</v>
      </c>
      <c r="E9" s="18" t="s">
        <v>39</v>
      </c>
      <c r="F9" s="18" t="s">
        <v>195</v>
      </c>
    </row>
    <row r="10" spans="1:6" x14ac:dyDescent="0.25">
      <c r="A10" s="18">
        <v>6</v>
      </c>
      <c r="B10" s="18" t="s">
        <v>204</v>
      </c>
      <c r="C10" s="18" t="s">
        <v>205</v>
      </c>
      <c r="D10" s="18">
        <v>48</v>
      </c>
      <c r="E10" s="18" t="s">
        <v>39</v>
      </c>
      <c r="F10" s="18" t="s">
        <v>195</v>
      </c>
    </row>
    <row r="11" spans="1:6" x14ac:dyDescent="0.25">
      <c r="A11" s="18">
        <v>7</v>
      </c>
      <c r="B11" s="18" t="s">
        <v>206</v>
      </c>
      <c r="C11" s="18" t="s">
        <v>207</v>
      </c>
      <c r="D11" s="18">
        <v>88</v>
      </c>
      <c r="E11" s="18" t="s">
        <v>39</v>
      </c>
      <c r="F11" s="18" t="s">
        <v>195</v>
      </c>
    </row>
    <row r="12" spans="1:6" x14ac:dyDescent="0.25">
      <c r="A12" s="18">
        <v>8</v>
      </c>
      <c r="B12" s="18" t="s">
        <v>24</v>
      </c>
      <c r="C12" s="18" t="s">
        <v>208</v>
      </c>
      <c r="D12" s="18">
        <v>79</v>
      </c>
      <c r="E12" s="18" t="s">
        <v>39</v>
      </c>
      <c r="F12" s="18" t="s">
        <v>195</v>
      </c>
    </row>
    <row r="13" spans="1:6" x14ac:dyDescent="0.25">
      <c r="A13" s="18">
        <v>9</v>
      </c>
      <c r="B13" s="18" t="s">
        <v>209</v>
      </c>
      <c r="C13" s="18" t="s">
        <v>210</v>
      </c>
      <c r="D13" s="18">
        <v>79</v>
      </c>
      <c r="E13" s="18" t="s">
        <v>39</v>
      </c>
      <c r="F13" s="18" t="s">
        <v>195</v>
      </c>
    </row>
    <row r="14" spans="1:6" x14ac:dyDescent="0.25">
      <c r="A14" s="18">
        <v>10</v>
      </c>
      <c r="B14" s="18" t="s">
        <v>211</v>
      </c>
      <c r="C14" s="18" t="s">
        <v>212</v>
      </c>
      <c r="D14" s="18">
        <v>51</v>
      </c>
      <c r="E14" s="18" t="s">
        <v>39</v>
      </c>
      <c r="F14" s="18" t="s">
        <v>195</v>
      </c>
    </row>
    <row r="15" spans="1:6" x14ac:dyDescent="0.25">
      <c r="A15" s="18">
        <v>11</v>
      </c>
      <c r="B15" s="18" t="s">
        <v>213</v>
      </c>
      <c r="C15" s="18" t="s">
        <v>214</v>
      </c>
      <c r="D15" s="18">
        <v>59</v>
      </c>
      <c r="E15" s="18" t="s">
        <v>39</v>
      </c>
      <c r="F15" s="18" t="s">
        <v>195</v>
      </c>
    </row>
    <row r="16" spans="1:6" x14ac:dyDescent="0.25">
      <c r="A16" s="18">
        <v>12</v>
      </c>
      <c r="B16" s="18" t="s">
        <v>215</v>
      </c>
      <c r="C16" s="18" t="s">
        <v>216</v>
      </c>
      <c r="D16" s="18">
        <v>66</v>
      </c>
      <c r="E16" s="18" t="s">
        <v>39</v>
      </c>
      <c r="F16" s="18" t="s">
        <v>195</v>
      </c>
    </row>
    <row r="17" spans="1:6" x14ac:dyDescent="0.25">
      <c r="A17" s="18">
        <v>13</v>
      </c>
      <c r="B17" s="18" t="s">
        <v>217</v>
      </c>
      <c r="C17" s="18" t="s">
        <v>218</v>
      </c>
      <c r="D17" s="18">
        <v>51</v>
      </c>
      <c r="E17" s="18" t="s">
        <v>39</v>
      </c>
      <c r="F17" s="18" t="s">
        <v>195</v>
      </c>
    </row>
    <row r="18" spans="1:6" x14ac:dyDescent="0.25">
      <c r="A18" s="18">
        <v>14</v>
      </c>
      <c r="B18" s="18" t="s">
        <v>219</v>
      </c>
      <c r="C18" s="18" t="s">
        <v>220</v>
      </c>
      <c r="D18" s="18">
        <v>61</v>
      </c>
      <c r="E18" s="18" t="s">
        <v>39</v>
      </c>
      <c r="F18" s="18" t="s">
        <v>195</v>
      </c>
    </row>
    <row r="19" spans="1:6" x14ac:dyDescent="0.25">
      <c r="A19" s="18">
        <v>15</v>
      </c>
      <c r="B19" s="18" t="s">
        <v>221</v>
      </c>
      <c r="C19" s="18" t="s">
        <v>222</v>
      </c>
      <c r="D19" s="18">
        <v>60</v>
      </c>
      <c r="E19" s="18" t="s">
        <v>39</v>
      </c>
      <c r="F19" s="18" t="s">
        <v>195</v>
      </c>
    </row>
    <row r="20" spans="1:6" x14ac:dyDescent="0.25">
      <c r="A20" s="18">
        <v>16</v>
      </c>
      <c r="B20" s="18" t="s">
        <v>223</v>
      </c>
      <c r="C20" s="18" t="s">
        <v>224</v>
      </c>
      <c r="D20" s="18">
        <v>50</v>
      </c>
      <c r="E20" s="18" t="s">
        <v>39</v>
      </c>
      <c r="F20" s="18" t="s">
        <v>195</v>
      </c>
    </row>
    <row r="21" spans="1:6" x14ac:dyDescent="0.25">
      <c r="A21" s="18">
        <v>17</v>
      </c>
      <c r="B21" s="18" t="s">
        <v>225</v>
      </c>
      <c r="C21" s="18" t="s">
        <v>226</v>
      </c>
      <c r="D21" s="18">
        <v>61</v>
      </c>
      <c r="E21" s="18" t="s">
        <v>39</v>
      </c>
      <c r="F21" s="18" t="s">
        <v>195</v>
      </c>
    </row>
    <row r="22" spans="1:6" x14ac:dyDescent="0.25">
      <c r="A22" s="24">
        <v>18</v>
      </c>
      <c r="B22" s="24" t="s">
        <v>235</v>
      </c>
      <c r="C22" s="24" t="s">
        <v>236</v>
      </c>
      <c r="D22" s="24">
        <v>51</v>
      </c>
      <c r="E22" s="24" t="s">
        <v>39</v>
      </c>
      <c r="F22" s="24" t="s">
        <v>195</v>
      </c>
    </row>
    <row r="23" spans="1:6" x14ac:dyDescent="0.25">
      <c r="A23" s="24">
        <v>19</v>
      </c>
      <c r="B23" s="24" t="s">
        <v>237</v>
      </c>
      <c r="C23" s="24" t="s">
        <v>238</v>
      </c>
      <c r="D23" s="24">
        <v>35</v>
      </c>
      <c r="E23" s="24" t="s">
        <v>39</v>
      </c>
      <c r="F23" s="24" t="s">
        <v>239</v>
      </c>
    </row>
    <row r="24" spans="1:6" x14ac:dyDescent="0.25">
      <c r="A24" s="24">
        <v>20</v>
      </c>
      <c r="B24" s="24" t="s">
        <v>240</v>
      </c>
      <c r="C24" s="24" t="s">
        <v>241</v>
      </c>
      <c r="D24" s="24">
        <v>42</v>
      </c>
      <c r="E24" s="24" t="s">
        <v>39</v>
      </c>
      <c r="F24" s="24" t="s">
        <v>195</v>
      </c>
    </row>
  </sheetData>
  <mergeCells count="1">
    <mergeCell ref="A1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4"/>
  <sheetViews>
    <sheetView workbookViewId="0">
      <selection activeCell="A11" sqref="A11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ht="15" customHeight="1" x14ac:dyDescent="0.25">
      <c r="A1" s="28" t="s">
        <v>117</v>
      </c>
      <c r="B1" s="29"/>
      <c r="C1" s="29"/>
      <c r="D1" s="29"/>
      <c r="E1" s="29"/>
      <c r="F1" s="30"/>
    </row>
    <row r="2" spans="1:6" ht="15" customHeight="1" x14ac:dyDescent="0.25">
      <c r="A2" s="31"/>
      <c r="B2" s="32"/>
      <c r="C2" s="32"/>
      <c r="D2" s="32"/>
      <c r="E2" s="32"/>
      <c r="F2" s="33"/>
    </row>
    <row r="3" spans="1:6" x14ac:dyDescent="0.25">
      <c r="A3" s="34"/>
      <c r="B3" s="35"/>
      <c r="C3" s="35"/>
      <c r="D3" s="35"/>
      <c r="E3" s="35"/>
      <c r="F3" s="36"/>
    </row>
    <row r="4" spans="1:6" x14ac:dyDescent="0.25">
      <c r="A4" s="12" t="s">
        <v>76</v>
      </c>
      <c r="B4" s="2" t="s">
        <v>77</v>
      </c>
      <c r="C4" s="2" t="s">
        <v>80</v>
      </c>
      <c r="D4" s="2" t="s">
        <v>81</v>
      </c>
      <c r="E4" s="2" t="s">
        <v>82</v>
      </c>
      <c r="F4" s="13" t="s">
        <v>83</v>
      </c>
    </row>
    <row r="5" spans="1:6" x14ac:dyDescent="0.25">
      <c r="A5" s="11">
        <v>1</v>
      </c>
      <c r="B5" s="11" t="s">
        <v>118</v>
      </c>
      <c r="C5" s="11" t="s">
        <v>128</v>
      </c>
      <c r="D5" s="11" t="s">
        <v>129</v>
      </c>
      <c r="E5" s="11" t="s">
        <v>130</v>
      </c>
      <c r="F5" s="11" t="s">
        <v>114</v>
      </c>
    </row>
    <row r="6" spans="1:6" x14ac:dyDescent="0.25">
      <c r="A6" s="11">
        <v>2</v>
      </c>
      <c r="B6" s="11" t="s">
        <v>119</v>
      </c>
      <c r="C6" s="11" t="s">
        <v>131</v>
      </c>
      <c r="D6" s="11" t="s">
        <v>132</v>
      </c>
      <c r="E6" s="11" t="s">
        <v>133</v>
      </c>
      <c r="F6" s="11" t="s">
        <v>134</v>
      </c>
    </row>
    <row r="7" spans="1:6" x14ac:dyDescent="0.25">
      <c r="A7" s="11">
        <v>3</v>
      </c>
      <c r="B7" s="11" t="s">
        <v>120</v>
      </c>
      <c r="C7" s="11" t="s">
        <v>135</v>
      </c>
      <c r="D7" s="11" t="s">
        <v>136</v>
      </c>
      <c r="E7" s="11" t="s">
        <v>137</v>
      </c>
      <c r="F7" s="11" t="s">
        <v>138</v>
      </c>
    </row>
    <row r="8" spans="1:6" x14ac:dyDescent="0.25">
      <c r="A8" s="11">
        <v>4</v>
      </c>
      <c r="B8" s="11" t="s">
        <v>121</v>
      </c>
      <c r="C8" s="11" t="s">
        <v>139</v>
      </c>
      <c r="D8" s="11" t="s">
        <v>140</v>
      </c>
      <c r="E8" s="11" t="s">
        <v>141</v>
      </c>
      <c r="F8" s="19" t="s">
        <v>142</v>
      </c>
    </row>
    <row r="9" spans="1:6" x14ac:dyDescent="0.25">
      <c r="A9" s="11">
        <v>5</v>
      </c>
      <c r="B9" s="11" t="s">
        <v>122</v>
      </c>
      <c r="C9" s="11" t="s">
        <v>139</v>
      </c>
      <c r="D9" s="11" t="s">
        <v>143</v>
      </c>
      <c r="E9" s="11" t="s">
        <v>144</v>
      </c>
      <c r="F9" s="19" t="s">
        <v>114</v>
      </c>
    </row>
    <row r="10" spans="1:6" x14ac:dyDescent="0.25">
      <c r="A10" s="11">
        <v>6</v>
      </c>
      <c r="B10" s="11" t="s">
        <v>123</v>
      </c>
      <c r="C10" s="11" t="s">
        <v>139</v>
      </c>
      <c r="D10" s="11" t="s">
        <v>145</v>
      </c>
      <c r="E10" s="11" t="s">
        <v>146</v>
      </c>
      <c r="F10" s="19" t="s">
        <v>147</v>
      </c>
    </row>
    <row r="11" spans="1:6" x14ac:dyDescent="0.25">
      <c r="A11" s="11">
        <v>7</v>
      </c>
      <c r="B11" s="11" t="s">
        <v>124</v>
      </c>
      <c r="C11" s="11" t="s">
        <v>148</v>
      </c>
      <c r="D11" s="11" t="s">
        <v>149</v>
      </c>
      <c r="E11" s="11" t="s">
        <v>150</v>
      </c>
      <c r="F11" s="19" t="s">
        <v>113</v>
      </c>
    </row>
    <row r="12" spans="1:6" x14ac:dyDescent="0.25">
      <c r="A12" s="11">
        <v>8</v>
      </c>
      <c r="B12" s="11" t="s">
        <v>125</v>
      </c>
      <c r="C12" s="11" t="s">
        <v>151</v>
      </c>
      <c r="D12" s="11" t="s">
        <v>152</v>
      </c>
      <c r="E12" s="11" t="s">
        <v>153</v>
      </c>
      <c r="F12" s="19" t="s">
        <v>154</v>
      </c>
    </row>
    <row r="13" spans="1:6" x14ac:dyDescent="0.25">
      <c r="A13" s="11">
        <v>9</v>
      </c>
      <c r="B13" s="11" t="s">
        <v>126</v>
      </c>
      <c r="C13" s="11" t="s">
        <v>155</v>
      </c>
      <c r="D13" s="11" t="s">
        <v>156</v>
      </c>
      <c r="E13" s="11" t="s">
        <v>157</v>
      </c>
      <c r="F13" s="19" t="s">
        <v>142</v>
      </c>
    </row>
    <row r="14" spans="1:6" x14ac:dyDescent="0.25">
      <c r="A14" s="11">
        <v>10</v>
      </c>
      <c r="B14" s="11" t="s">
        <v>127</v>
      </c>
      <c r="C14" s="11" t="s">
        <v>128</v>
      </c>
      <c r="D14" s="11" t="s">
        <v>129</v>
      </c>
      <c r="E14" s="11" t="s">
        <v>158</v>
      </c>
      <c r="F14" s="19" t="s">
        <v>114</v>
      </c>
    </row>
  </sheetData>
  <mergeCells count="1">
    <mergeCell ref="A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workbookViewId="0">
      <selection activeCell="E14" sqref="E14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37" t="s">
        <v>160</v>
      </c>
      <c r="B1" s="46"/>
      <c r="C1" s="47"/>
    </row>
    <row r="2" spans="1:3" x14ac:dyDescent="0.25">
      <c r="A2" s="48"/>
      <c r="B2" s="49"/>
      <c r="C2" s="50"/>
    </row>
    <row r="3" spans="1:3" x14ac:dyDescent="0.25">
      <c r="A3" s="48"/>
      <c r="B3" s="49"/>
      <c r="C3" s="50"/>
    </row>
    <row r="4" spans="1:3" x14ac:dyDescent="0.25">
      <c r="A4" s="16" t="s">
        <v>76</v>
      </c>
      <c r="B4" s="3" t="s">
        <v>77</v>
      </c>
      <c r="C4" s="17" t="s">
        <v>159</v>
      </c>
    </row>
    <row r="5" spans="1:3" x14ac:dyDescent="0.25">
      <c r="A5" s="11">
        <v>1</v>
      </c>
      <c r="B5" s="11" t="s">
        <v>161</v>
      </c>
      <c r="C5" s="11" t="s">
        <v>242</v>
      </c>
    </row>
    <row r="6" spans="1:3" x14ac:dyDescent="0.25">
      <c r="A6" s="11">
        <v>2</v>
      </c>
      <c r="B6" s="11" t="s">
        <v>162</v>
      </c>
      <c r="C6" s="11" t="s">
        <v>243</v>
      </c>
    </row>
    <row r="7" spans="1:3" x14ac:dyDescent="0.25">
      <c r="A7" s="11">
        <v>3</v>
      </c>
      <c r="B7" s="11" t="s">
        <v>227</v>
      </c>
      <c r="C7" s="11" t="s">
        <v>244</v>
      </c>
    </row>
    <row r="8" spans="1:3" x14ac:dyDescent="0.25">
      <c r="A8" s="11">
        <v>4</v>
      </c>
      <c r="B8" s="11" t="s">
        <v>163</v>
      </c>
      <c r="C8" s="11" t="s">
        <v>245</v>
      </c>
    </row>
    <row r="9" spans="1:3" x14ac:dyDescent="0.25">
      <c r="A9" s="11">
        <v>5</v>
      </c>
      <c r="B9" s="11" t="s">
        <v>164</v>
      </c>
      <c r="C9" s="11" t="s">
        <v>246</v>
      </c>
    </row>
    <row r="10" spans="1:3" x14ac:dyDescent="0.25">
      <c r="A10" s="11">
        <v>6</v>
      </c>
      <c r="B10" s="11" t="s">
        <v>228</v>
      </c>
      <c r="C10" s="11" t="s">
        <v>247</v>
      </c>
    </row>
    <row r="11" spans="1:3" x14ac:dyDescent="0.25">
      <c r="A11" s="11">
        <v>7</v>
      </c>
      <c r="B11" s="11" t="s">
        <v>165</v>
      </c>
      <c r="C11" s="11" t="s">
        <v>243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workbookViewId="0">
      <selection activeCell="B5" sqref="B5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37" t="s">
        <v>166</v>
      </c>
      <c r="B1" s="38"/>
      <c r="C1" s="38"/>
      <c r="D1" s="38"/>
      <c r="E1" s="39"/>
    </row>
    <row r="2" spans="1:5" x14ac:dyDescent="0.25">
      <c r="A2" s="40"/>
      <c r="B2" s="41"/>
      <c r="C2" s="41"/>
      <c r="D2" s="41"/>
      <c r="E2" s="42"/>
    </row>
    <row r="3" spans="1:5" x14ac:dyDescent="0.25">
      <c r="A3" s="40"/>
      <c r="B3" s="41"/>
      <c r="C3" s="41"/>
      <c r="D3" s="41"/>
      <c r="E3" s="42"/>
    </row>
    <row r="4" spans="1:5" x14ac:dyDescent="0.25">
      <c r="A4" s="16" t="s">
        <v>76</v>
      </c>
      <c r="B4" s="3" t="s">
        <v>167</v>
      </c>
      <c r="C4" s="3" t="s">
        <v>168</v>
      </c>
      <c r="D4" s="3" t="s">
        <v>169</v>
      </c>
      <c r="E4" s="17" t="s">
        <v>170</v>
      </c>
    </row>
    <row r="5" spans="1:5" x14ac:dyDescent="0.25">
      <c r="A5" s="11">
        <v>1</v>
      </c>
      <c r="B5" s="11">
        <f ca="1">RANDBETWEEN(1, 7)</f>
        <v>1</v>
      </c>
      <c r="C5" s="11">
        <f ca="1">RANDBETWEEN(1, 17)</f>
        <v>16</v>
      </c>
      <c r="D5" s="15" cm="1">
        <f t="array" aca="1" ref="D5" ca="1">RANDBETWEEN("01/01/2020",TODAY())+_xlfn.RANDARRAY(1,1,1,59.03,FALSE)</f>
        <v>44067.884106153288</v>
      </c>
      <c r="E5" s="18" t="s">
        <v>171</v>
      </c>
    </row>
    <row r="6" spans="1:5" x14ac:dyDescent="0.25">
      <c r="A6" s="11">
        <v>2</v>
      </c>
      <c r="B6" s="11">
        <f t="shared" ref="B6:B14" ca="1" si="0">RANDBETWEEN(1, 7)</f>
        <v>3</v>
      </c>
      <c r="C6" s="11">
        <f t="shared" ref="C6:C14" ca="1" si="1">RANDBETWEEN(1, 10)</f>
        <v>8</v>
      </c>
      <c r="D6" s="15" cm="1">
        <f t="array" aca="1" ref="D6" ca="1">RANDBETWEEN("01/01/2020",TODAY())+_xlfn.RANDARRAY(1,1,1,59.03,FALSE)</f>
        <v>43895.053087002598</v>
      </c>
      <c r="E6" s="18" t="s">
        <v>172</v>
      </c>
    </row>
    <row r="7" spans="1:5" x14ac:dyDescent="0.25">
      <c r="A7" s="11">
        <v>3</v>
      </c>
      <c r="B7" s="11">
        <f t="shared" ca="1" si="0"/>
        <v>2</v>
      </c>
      <c r="C7" s="11">
        <f t="shared" ca="1" si="1"/>
        <v>7</v>
      </c>
      <c r="D7" s="15" cm="1">
        <f t="array" aca="1" ref="D7" ca="1">RANDBETWEEN("01/01/2020",TODAY())+_xlfn.RANDARRAY(1,1,1,59.03,FALSE)</f>
        <v>44312.317178660305</v>
      </c>
      <c r="E7" s="18" t="s">
        <v>173</v>
      </c>
    </row>
    <row r="8" spans="1:5" x14ac:dyDescent="0.25">
      <c r="A8" s="11">
        <v>4</v>
      </c>
      <c r="B8" s="11">
        <f t="shared" ca="1" si="0"/>
        <v>4</v>
      </c>
      <c r="C8" s="11">
        <f t="shared" ca="1" si="1"/>
        <v>9</v>
      </c>
      <c r="D8" s="15" cm="1">
        <f t="array" aca="1" ref="D8" ca="1">RANDBETWEEN("01/01/2020",TODAY())+_xlfn.RANDARRAY(1,1,1,59.03,FALSE)</f>
        <v>44480.271272971797</v>
      </c>
      <c r="E8" s="18" t="s">
        <v>171</v>
      </c>
    </row>
    <row r="9" spans="1:5" x14ac:dyDescent="0.25">
      <c r="A9" s="11">
        <v>5</v>
      </c>
      <c r="B9" s="11">
        <f t="shared" ca="1" si="0"/>
        <v>7</v>
      </c>
      <c r="C9" s="11">
        <f t="shared" ca="1" si="1"/>
        <v>3</v>
      </c>
      <c r="D9" s="15" cm="1">
        <f t="array" aca="1" ref="D9" ca="1">RANDBETWEEN("01/01/2020",TODAY())+_xlfn.RANDARRAY(1,1,1,59.03,FALSE)</f>
        <v>44387.871520663277</v>
      </c>
      <c r="E9" s="18" t="s">
        <v>172</v>
      </c>
    </row>
    <row r="10" spans="1:5" x14ac:dyDescent="0.25">
      <c r="A10" s="11">
        <v>6</v>
      </c>
      <c r="B10" s="11">
        <f t="shared" ca="1" si="0"/>
        <v>3</v>
      </c>
      <c r="C10" s="11">
        <f t="shared" ca="1" si="1"/>
        <v>1</v>
      </c>
      <c r="D10" s="15" cm="1">
        <f t="array" aca="1" ref="D10" ca="1">RANDBETWEEN("01/01/2020",TODAY())+_xlfn.RANDARRAY(1,1,1,59.03,FALSE)</f>
        <v>44108.182639784682</v>
      </c>
      <c r="E10" s="18" t="s">
        <v>174</v>
      </c>
    </row>
    <row r="11" spans="1:5" x14ac:dyDescent="0.25">
      <c r="A11" s="11">
        <v>7</v>
      </c>
      <c r="B11" s="11">
        <f t="shared" ca="1" si="0"/>
        <v>1</v>
      </c>
      <c r="C11" s="11">
        <f t="shared" ca="1" si="1"/>
        <v>3</v>
      </c>
      <c r="D11" s="15" cm="1">
        <f t="array" aca="1" ref="D11" ca="1">RANDBETWEEN("01/01/2020",TODAY())+_xlfn.RANDARRAY(1,1,1,59.03,FALSE)</f>
        <v>44326.886507010284</v>
      </c>
      <c r="E11" s="18" t="s">
        <v>172</v>
      </c>
    </row>
    <row r="12" spans="1:5" x14ac:dyDescent="0.25">
      <c r="A12" s="11">
        <v>8</v>
      </c>
      <c r="B12" s="11">
        <f t="shared" ca="1" si="0"/>
        <v>1</v>
      </c>
      <c r="C12" s="11">
        <f t="shared" ca="1" si="1"/>
        <v>9</v>
      </c>
      <c r="D12" s="15" cm="1">
        <f t="array" aca="1" ref="D12" ca="1">RANDBETWEEN("01/01/2020",TODAY())+_xlfn.RANDARRAY(1,1,1,59.03,FALSE)</f>
        <v>44146.479873489785</v>
      </c>
      <c r="E12" s="18" t="s">
        <v>171</v>
      </c>
    </row>
    <row r="13" spans="1:5" x14ac:dyDescent="0.25">
      <c r="A13" s="11">
        <v>9</v>
      </c>
      <c r="B13" s="11">
        <f t="shared" ca="1" si="0"/>
        <v>1</v>
      </c>
      <c r="C13" s="11">
        <f t="shared" ca="1" si="1"/>
        <v>10</v>
      </c>
      <c r="D13" s="15" cm="1">
        <f t="array" aca="1" ref="D13" ca="1">RANDBETWEEN("01/01/2020",TODAY())+_xlfn.RANDARRAY(1,1,1,59.03,FALSE)</f>
        <v>44307.440599206777</v>
      </c>
      <c r="E13" s="18" t="s">
        <v>174</v>
      </c>
    </row>
    <row r="14" spans="1:5" x14ac:dyDescent="0.25">
      <c r="A14" s="11">
        <v>10</v>
      </c>
      <c r="B14" s="11">
        <f t="shared" ca="1" si="0"/>
        <v>2</v>
      </c>
      <c r="C14" s="11">
        <f t="shared" ca="1" si="1"/>
        <v>7</v>
      </c>
      <c r="D14" s="15" cm="1">
        <f t="array" aca="1" ref="D14" ca="1">RANDBETWEEN("01/01/2020",TODAY())+_xlfn.RANDARRAY(1,1,1,59.03,FALSE)</f>
        <v>44340.691908526089</v>
      </c>
      <c r="E14" s="18" t="s">
        <v>172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6"/>
  <sheetViews>
    <sheetView workbookViewId="0">
      <selection activeCell="H38" sqref="H38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28" t="s">
        <v>181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x14ac:dyDescent="0.25">
      <c r="A3" s="34"/>
      <c r="B3" s="35"/>
      <c r="C3" s="35"/>
      <c r="D3" s="35"/>
      <c r="E3" s="35"/>
      <c r="F3" s="35"/>
      <c r="G3" s="35"/>
      <c r="H3" s="35"/>
      <c r="I3" s="36"/>
    </row>
    <row r="4" spans="1:9" x14ac:dyDescent="0.25">
      <c r="A4" s="12" t="s">
        <v>76</v>
      </c>
      <c r="B4" s="2" t="s">
        <v>175</v>
      </c>
      <c r="C4" s="2" t="s">
        <v>168</v>
      </c>
      <c r="D4" s="2" t="s">
        <v>79</v>
      </c>
      <c r="E4" s="2" t="s">
        <v>176</v>
      </c>
      <c r="F4" s="2" t="s">
        <v>177</v>
      </c>
      <c r="G4" s="2" t="s">
        <v>178</v>
      </c>
      <c r="H4" s="2" t="s">
        <v>179</v>
      </c>
      <c r="I4" s="13" t="s">
        <v>180</v>
      </c>
    </row>
    <row r="5" spans="1:9" x14ac:dyDescent="0.25">
      <c r="A5" s="11">
        <v>1</v>
      </c>
      <c r="B5" s="11">
        <f ca="1">RANDBETWEEN(1, 10)</f>
        <v>10</v>
      </c>
      <c r="C5" s="11">
        <f ca="1">RANDBETWEEN(1, 17)</f>
        <v>6</v>
      </c>
      <c r="D5" s="14" cm="1">
        <f t="array" aca="1" ref="D5" ca="1">_xlfn.RANDARRAY(1,1,0,0.03,FALSE)</f>
        <v>2.1099566126886009E-3</v>
      </c>
      <c r="E5" s="15" cm="1">
        <f t="array" aca="1" ref="E5" ca="1">RANDBETWEEN("01/01/2020",TODAY())+_xlfn.RANDARRAY(1,1,1,59.03,FALSE)</f>
        <v>44666.34742512185</v>
      </c>
      <c r="F5" s="11" t="s">
        <v>182</v>
      </c>
      <c r="G5" s="11">
        <f ca="1" xml:space="preserve">  RANDBETWEEN(0, 100)</f>
        <v>53</v>
      </c>
      <c r="H5" s="11">
        <f ca="1" xml:space="preserve">  RANDBETWEEN(1, 5)</f>
        <v>3</v>
      </c>
      <c r="I5" s="11">
        <f ca="1" xml:space="preserve">  RANDBETWEEN(1, 12)</f>
        <v>8</v>
      </c>
    </row>
    <row r="6" spans="1:9" x14ac:dyDescent="0.25">
      <c r="A6" s="11">
        <v>2</v>
      </c>
      <c r="B6" s="11">
        <f t="shared" ref="B6:B16" ca="1" si="0">RANDBETWEEN(1, 10)</f>
        <v>10</v>
      </c>
      <c r="C6" s="11">
        <f t="shared" ref="C6:C16" ca="1" si="1">RANDBETWEEN(1, 17)</f>
        <v>11</v>
      </c>
      <c r="D6" s="14" cm="1">
        <f t="array" aca="1" ref="D6" ca="1">_xlfn.RANDARRAY(1,1,0,0.03,FALSE)</f>
        <v>1.0536971922895016E-2</v>
      </c>
      <c r="E6" s="15" cm="1">
        <f t="array" aca="1" ref="E6" ca="1">RANDBETWEEN("01/01/2020",TODAY())+_xlfn.RANDARRAY(1,1,1,59.03,FALSE)</f>
        <v>44515.94608490375</v>
      </c>
      <c r="F6" s="11" t="s">
        <v>183</v>
      </c>
      <c r="G6" s="11">
        <f t="shared" ref="G6:G16" ca="1" si="2" xml:space="preserve">  RANDBETWEEN(0, 100)</f>
        <v>49</v>
      </c>
      <c r="H6" s="11">
        <f t="shared" ref="H6:H16" ca="1" si="3" xml:space="preserve">  RANDBETWEEN(1, 5)</f>
        <v>4</v>
      </c>
      <c r="I6" s="11">
        <f t="shared" ref="I6:I16" ca="1" si="4" xml:space="preserve">  RANDBETWEEN(1, 12)</f>
        <v>4</v>
      </c>
    </row>
    <row r="7" spans="1:9" x14ac:dyDescent="0.25">
      <c r="A7" s="11">
        <v>3</v>
      </c>
      <c r="B7" s="11">
        <f t="shared" ca="1" si="0"/>
        <v>1</v>
      </c>
      <c r="C7" s="11">
        <f t="shared" ca="1" si="1"/>
        <v>11</v>
      </c>
      <c r="D7" s="14" cm="1">
        <f t="array" aca="1" ref="D7" ca="1">_xlfn.RANDARRAY(1,1,0,0.03,FALSE)</f>
        <v>3.0982682664750308E-4</v>
      </c>
      <c r="E7" s="15" cm="1">
        <f t="array" aca="1" ref="E7" ca="1">RANDBETWEEN("01/01/2020",TODAY())+_xlfn.RANDARRAY(1,1,1,59.03,FALSE)</f>
        <v>44472.192366048046</v>
      </c>
      <c r="F7" s="11" t="s">
        <v>184</v>
      </c>
      <c r="G7" s="11">
        <f t="shared" ca="1" si="2"/>
        <v>60</v>
      </c>
      <c r="H7" s="11">
        <f t="shared" ca="1" si="3"/>
        <v>4</v>
      </c>
      <c r="I7" s="11">
        <f t="shared" ca="1" si="4"/>
        <v>9</v>
      </c>
    </row>
    <row r="8" spans="1:9" x14ac:dyDescent="0.25">
      <c r="A8" s="11">
        <v>4</v>
      </c>
      <c r="B8" s="11">
        <f t="shared" ca="1" si="0"/>
        <v>10</v>
      </c>
      <c r="C8" s="11">
        <f t="shared" ca="1" si="1"/>
        <v>15</v>
      </c>
      <c r="D8" s="14" cm="1">
        <f t="array" aca="1" ref="D8" ca="1">_xlfn.RANDARRAY(1,1,0,0.03,FALSE)</f>
        <v>2.7835538413893132E-2</v>
      </c>
      <c r="E8" s="15" cm="1">
        <f t="array" aca="1" ref="E8" ca="1">RANDBETWEEN("01/01/2020",TODAY())+_xlfn.RANDARRAY(1,1,1,59.03,FALSE)</f>
        <v>44698.763036173907</v>
      </c>
      <c r="F8" s="11" t="s">
        <v>182</v>
      </c>
      <c r="G8" s="11">
        <f t="shared" ca="1" si="2"/>
        <v>24</v>
      </c>
      <c r="H8" s="11">
        <f t="shared" ca="1" si="3"/>
        <v>1</v>
      </c>
      <c r="I8" s="11">
        <f t="shared" ca="1" si="4"/>
        <v>10</v>
      </c>
    </row>
    <row r="9" spans="1:9" x14ac:dyDescent="0.25">
      <c r="A9" s="11">
        <v>5</v>
      </c>
      <c r="B9" s="11">
        <f t="shared" ca="1" si="0"/>
        <v>10</v>
      </c>
      <c r="C9" s="11">
        <f t="shared" ca="1" si="1"/>
        <v>7</v>
      </c>
      <c r="D9" s="14" cm="1">
        <f t="array" aca="1" ref="D9" ca="1">_xlfn.RANDARRAY(1,1,0,0.03,FALSE)</f>
        <v>6.5716663575267342E-4</v>
      </c>
      <c r="E9" s="15" cm="1">
        <f t="array" aca="1" ref="E9" ca="1">RANDBETWEEN("01/01/2020",TODAY())+_xlfn.RANDARRAY(1,1,1,59.03,FALSE)</f>
        <v>44618.061970628856</v>
      </c>
      <c r="F9" s="11" t="s">
        <v>184</v>
      </c>
      <c r="G9" s="11">
        <f t="shared" ca="1" si="2"/>
        <v>63</v>
      </c>
      <c r="H9" s="11">
        <f t="shared" ca="1" si="3"/>
        <v>5</v>
      </c>
      <c r="I9" s="11">
        <f t="shared" ca="1" si="4"/>
        <v>3</v>
      </c>
    </row>
    <row r="10" spans="1:9" x14ac:dyDescent="0.25">
      <c r="A10" s="11">
        <v>6</v>
      </c>
      <c r="B10" s="11">
        <f t="shared" ca="1" si="0"/>
        <v>4</v>
      </c>
      <c r="C10" s="11">
        <f t="shared" ca="1" si="1"/>
        <v>11</v>
      </c>
      <c r="D10" s="14" cm="1">
        <f t="array" aca="1" ref="D10" ca="1">_xlfn.RANDARRAY(1,1,0,0.03,FALSE)</f>
        <v>8.3579298383347489E-4</v>
      </c>
      <c r="E10" s="15" cm="1">
        <f t="array" aca="1" ref="E10" ca="1">RANDBETWEEN("01/01/2020",TODAY())+_xlfn.RANDARRAY(1,1,1,59.03,FALSE)</f>
        <v>44767.86088227931</v>
      </c>
      <c r="F10" s="11" t="s">
        <v>184</v>
      </c>
      <c r="G10" s="11">
        <f t="shared" ca="1" si="2"/>
        <v>23</v>
      </c>
      <c r="H10" s="11">
        <f t="shared" ca="1" si="3"/>
        <v>5</v>
      </c>
      <c r="I10" s="11">
        <f t="shared" ca="1" si="4"/>
        <v>5</v>
      </c>
    </row>
    <row r="11" spans="1:9" x14ac:dyDescent="0.25">
      <c r="A11" s="11">
        <v>7</v>
      </c>
      <c r="B11" s="11">
        <f t="shared" ca="1" si="0"/>
        <v>9</v>
      </c>
      <c r="C11" s="11">
        <f t="shared" ca="1" si="1"/>
        <v>9</v>
      </c>
      <c r="D11" s="14" cm="1">
        <f t="array" aca="1" ref="D11" ca="1">_xlfn.RANDARRAY(1,1,0,0.03,FALSE)</f>
        <v>6.2595165169591176E-3</v>
      </c>
      <c r="E11" s="15" cm="1">
        <f t="array" aca="1" ref="E11" ca="1">RANDBETWEEN("01/01/2020",TODAY())+_xlfn.RANDARRAY(1,1,1,59.03,FALSE)</f>
        <v>43964.675271028769</v>
      </c>
      <c r="F11" s="11" t="s">
        <v>184</v>
      </c>
      <c r="G11" s="11">
        <f t="shared" ca="1" si="2"/>
        <v>10</v>
      </c>
      <c r="H11" s="11">
        <f t="shared" ca="1" si="3"/>
        <v>3</v>
      </c>
      <c r="I11" s="11">
        <f t="shared" ca="1" si="4"/>
        <v>1</v>
      </c>
    </row>
    <row r="12" spans="1:9" x14ac:dyDescent="0.25">
      <c r="A12" s="11">
        <v>8</v>
      </c>
      <c r="B12" s="11">
        <f t="shared" ca="1" si="0"/>
        <v>4</v>
      </c>
      <c r="C12" s="11">
        <f t="shared" ca="1" si="1"/>
        <v>9</v>
      </c>
      <c r="D12" s="14" cm="1">
        <f t="array" aca="1" ref="D12" ca="1">_xlfn.RANDARRAY(1,1,0,0.03,FALSE)</f>
        <v>1.5677252694435186E-2</v>
      </c>
      <c r="E12" s="15" cm="1">
        <f t="array" aca="1" ref="E12" ca="1">RANDBETWEEN("01/01/2020",TODAY())+_xlfn.RANDARRAY(1,1,1,59.03,FALSE)</f>
        <v>43932.935196306418</v>
      </c>
      <c r="F12" s="11" t="s">
        <v>182</v>
      </c>
      <c r="G12" s="11">
        <f t="shared" ca="1" si="2"/>
        <v>98</v>
      </c>
      <c r="H12" s="11">
        <f t="shared" ca="1" si="3"/>
        <v>2</v>
      </c>
      <c r="I12" s="11">
        <f t="shared" ca="1" si="4"/>
        <v>8</v>
      </c>
    </row>
    <row r="13" spans="1:9" x14ac:dyDescent="0.25">
      <c r="A13" s="11">
        <v>9</v>
      </c>
      <c r="B13" s="11">
        <f t="shared" ca="1" si="0"/>
        <v>1</v>
      </c>
      <c r="C13" s="11">
        <f t="shared" ca="1" si="1"/>
        <v>9</v>
      </c>
      <c r="D13" s="14" cm="1">
        <f t="array" aca="1" ref="D13" ca="1">_xlfn.RANDARRAY(1,1,0,0.03,FALSE)</f>
        <v>1.517475526968088E-2</v>
      </c>
      <c r="E13" s="15" cm="1">
        <f t="array" aca="1" ref="E13" ca="1">RANDBETWEEN("01/01/2020",TODAY())+_xlfn.RANDARRAY(1,1,1,59.03,FALSE)</f>
        <v>44697.339532371276</v>
      </c>
      <c r="F13" s="11" t="s">
        <v>182</v>
      </c>
      <c r="G13" s="11">
        <f t="shared" ca="1" si="2"/>
        <v>25</v>
      </c>
      <c r="H13" s="11">
        <f t="shared" ca="1" si="3"/>
        <v>5</v>
      </c>
      <c r="I13" s="11">
        <f t="shared" ca="1" si="4"/>
        <v>11</v>
      </c>
    </row>
    <row r="14" spans="1:9" x14ac:dyDescent="0.25">
      <c r="A14" s="11">
        <v>10</v>
      </c>
      <c r="B14" s="11">
        <f t="shared" ca="1" si="0"/>
        <v>2</v>
      </c>
      <c r="C14" s="11">
        <f t="shared" ca="1" si="1"/>
        <v>6</v>
      </c>
      <c r="D14" s="14" cm="1">
        <f t="array" aca="1" ref="D14" ca="1">_xlfn.RANDARRAY(1,1,0,0.03,FALSE)</f>
        <v>4.8400919686848697E-3</v>
      </c>
      <c r="E14" s="15" cm="1">
        <f t="array" aca="1" ref="E14" ca="1">RANDBETWEEN("01/01/2020",TODAY())+_xlfn.RANDARRAY(1,1,1,59.03,FALSE)</f>
        <v>44756.801803634444</v>
      </c>
      <c r="F14" s="11" t="s">
        <v>184</v>
      </c>
      <c r="G14" s="11">
        <f t="shared" ca="1" si="2"/>
        <v>81</v>
      </c>
      <c r="H14" s="11">
        <f t="shared" ca="1" si="3"/>
        <v>5</v>
      </c>
      <c r="I14" s="11">
        <f t="shared" ca="1" si="4"/>
        <v>5</v>
      </c>
    </row>
    <row r="15" spans="1:9" x14ac:dyDescent="0.25">
      <c r="A15" s="11">
        <v>11</v>
      </c>
      <c r="B15" s="11">
        <f t="shared" ca="1" si="0"/>
        <v>2</v>
      </c>
      <c r="C15" s="11">
        <f t="shared" ca="1" si="1"/>
        <v>17</v>
      </c>
      <c r="D15" s="14" cm="1">
        <f t="array" aca="1" ref="D15" ca="1">_xlfn.RANDARRAY(1,1,0,0.03,FALSE)</f>
        <v>2.5250901156768091E-2</v>
      </c>
      <c r="E15" s="15" cm="1">
        <f t="array" aca="1" ref="E15" ca="1">RANDBETWEEN("01/01/2020",TODAY())+_xlfn.RANDARRAY(1,1,1,59.03,FALSE)</f>
        <v>44051.674414647387</v>
      </c>
      <c r="F15" s="11" t="s">
        <v>183</v>
      </c>
      <c r="G15" s="11">
        <f t="shared" ca="1" si="2"/>
        <v>19</v>
      </c>
      <c r="H15" s="11">
        <f t="shared" ca="1" si="3"/>
        <v>2</v>
      </c>
      <c r="I15" s="11">
        <f t="shared" ca="1" si="4"/>
        <v>12</v>
      </c>
    </row>
    <row r="16" spans="1:9" x14ac:dyDescent="0.25">
      <c r="A16" s="11">
        <v>12</v>
      </c>
      <c r="B16" s="11">
        <f t="shared" ca="1" si="0"/>
        <v>7</v>
      </c>
      <c r="C16" s="11">
        <f t="shared" ca="1" si="1"/>
        <v>12</v>
      </c>
      <c r="D16" s="14" cm="1">
        <f t="array" aca="1" ref="D16" ca="1">_xlfn.RANDARRAY(1,1,0,0.03,FALSE)</f>
        <v>1.6627198418696847E-2</v>
      </c>
      <c r="E16" s="15" cm="1">
        <f t="array" aca="1" ref="E16" ca="1">RANDBETWEEN("01/01/2020",TODAY())+_xlfn.RANDARRAY(1,1,1,59.03,FALSE)</f>
        <v>44198.137942774796</v>
      </c>
      <c r="F16" s="11" t="s">
        <v>184</v>
      </c>
      <c r="G16" s="11">
        <f t="shared" ca="1" si="2"/>
        <v>79</v>
      </c>
      <c r="H16" s="11">
        <f t="shared" ca="1" si="3"/>
        <v>1</v>
      </c>
      <c r="I16" s="11">
        <f t="shared" ca="1" si="4"/>
        <v>2</v>
      </c>
    </row>
  </sheetData>
  <mergeCells count="1">
    <mergeCell ref="A1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6"/>
  <sheetViews>
    <sheetView workbookViewId="0">
      <selection sqref="A1:G3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ht="15" customHeight="1" x14ac:dyDescent="0.25">
      <c r="A1" s="28" t="s">
        <v>185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76</v>
      </c>
      <c r="B4" s="2" t="s">
        <v>186</v>
      </c>
      <c r="C4" s="2" t="s">
        <v>168</v>
      </c>
      <c r="D4" s="2" t="s">
        <v>79</v>
      </c>
      <c r="E4" s="2" t="s">
        <v>176</v>
      </c>
      <c r="F4" s="2" t="s">
        <v>177</v>
      </c>
      <c r="G4" s="13" t="s">
        <v>178</v>
      </c>
    </row>
    <row r="5" spans="1:7" x14ac:dyDescent="0.25">
      <c r="A5" s="11">
        <v>1</v>
      </c>
      <c r="B5" s="11">
        <f ca="1">RANDBETWEEN(1, 10)</f>
        <v>4</v>
      </c>
      <c r="C5" s="11">
        <f ca="1">RANDBETWEEN(1, 17)</f>
        <v>13</v>
      </c>
      <c r="D5" s="14" cm="1">
        <f t="array" aca="1" ref="D5" ca="1">_xlfn.RANDARRAY(1,1,0,0.3,FALSE)</f>
        <v>0.21676666648436821</v>
      </c>
      <c r="E5" s="15" cm="1">
        <f t="array" aca="1" ref="E5" ca="1">RANDBETWEEN("01/01/2020",TODAY())+_xlfn.RANDARRAY(1,1,1,59.03,FALSE)</f>
        <v>44435.312071720437</v>
      </c>
      <c r="F5" s="11" t="s">
        <v>182</v>
      </c>
      <c r="G5" s="11">
        <f ca="1" xml:space="preserve">  RANDBETWEEN(0, 100)</f>
        <v>82</v>
      </c>
    </row>
    <row r="6" spans="1:7" x14ac:dyDescent="0.25">
      <c r="A6" s="11">
        <v>2</v>
      </c>
      <c r="B6" s="11">
        <f t="shared" ref="B6:B16" ca="1" si="0">RANDBETWEEN(1, 10)</f>
        <v>9</v>
      </c>
      <c r="C6" s="11">
        <f t="shared" ref="C6:C16" ca="1" si="1">RANDBETWEEN(1, 17)</f>
        <v>16</v>
      </c>
      <c r="D6" s="14" cm="1">
        <f t="array" aca="1" ref="D6" ca="1">_xlfn.RANDARRAY(1,1,0,0.3,FALSE)</f>
        <v>0.10475827264652415</v>
      </c>
      <c r="E6" s="15" cm="1">
        <f t="array" aca="1" ref="E6" ca="1">RANDBETWEEN("01/01/2020",TODAY())+_xlfn.RANDARRAY(1,1,1,59.03,FALSE)</f>
        <v>44457.932745734506</v>
      </c>
      <c r="F6" s="11" t="s">
        <v>183</v>
      </c>
      <c r="G6" s="11">
        <f t="shared" ref="G6:G16" ca="1" si="2" xml:space="preserve">  RANDBETWEEN(0, 100)</f>
        <v>38</v>
      </c>
    </row>
    <row r="7" spans="1:7" x14ac:dyDescent="0.25">
      <c r="A7" s="11">
        <v>3</v>
      </c>
      <c r="B7" s="11">
        <f t="shared" ca="1" si="0"/>
        <v>6</v>
      </c>
      <c r="C7" s="11">
        <f t="shared" ca="1" si="1"/>
        <v>7</v>
      </c>
      <c r="D7" s="14" cm="1">
        <f t="array" aca="1" ref="D7" ca="1">_xlfn.RANDARRAY(1,1,0,0.3,FALSE)</f>
        <v>0.13415839750472236</v>
      </c>
      <c r="E7" s="15" cm="1">
        <f t="array" aca="1" ref="E7" ca="1">RANDBETWEEN("01/01/2020",TODAY())+_xlfn.RANDARRAY(1,1,1,59.03,FALSE)</f>
        <v>44466.843910509182</v>
      </c>
      <c r="F7" s="11" t="s">
        <v>184</v>
      </c>
      <c r="G7" s="11">
        <f t="shared" ca="1" si="2"/>
        <v>55</v>
      </c>
    </row>
    <row r="8" spans="1:7" x14ac:dyDescent="0.25">
      <c r="A8" s="11">
        <v>4</v>
      </c>
      <c r="B8" s="11">
        <f t="shared" ca="1" si="0"/>
        <v>4</v>
      </c>
      <c r="C8" s="11">
        <f t="shared" ca="1" si="1"/>
        <v>2</v>
      </c>
      <c r="D8" s="14" cm="1">
        <f t="array" aca="1" ref="D8" ca="1">_xlfn.RANDARRAY(1,1,0,0.3,FALSE)</f>
        <v>0.2005408903535984</v>
      </c>
      <c r="E8" s="15" cm="1">
        <f t="array" aca="1" ref="E8" ca="1">RANDBETWEEN("01/01/2020",TODAY())+_xlfn.RANDARRAY(1,1,1,59.03,FALSE)</f>
        <v>44153.125355183642</v>
      </c>
      <c r="F8" s="11" t="s">
        <v>182</v>
      </c>
      <c r="G8" s="11">
        <f t="shared" ca="1" si="2"/>
        <v>87</v>
      </c>
    </row>
    <row r="9" spans="1:7" x14ac:dyDescent="0.25">
      <c r="A9" s="11">
        <v>5</v>
      </c>
      <c r="B9" s="11">
        <f t="shared" ca="1" si="0"/>
        <v>8</v>
      </c>
      <c r="C9" s="11">
        <f t="shared" ca="1" si="1"/>
        <v>17</v>
      </c>
      <c r="D9" s="14" cm="1">
        <f t="array" aca="1" ref="D9" ca="1">_xlfn.RANDARRAY(1,1,0,0.3,FALSE)</f>
        <v>0.16105946392375092</v>
      </c>
      <c r="E9" s="15" cm="1">
        <f t="array" aca="1" ref="E9" ca="1">RANDBETWEEN("01/01/2020",TODAY())+_xlfn.RANDARRAY(1,1,1,59.03,FALSE)</f>
        <v>44607.771892419543</v>
      </c>
      <c r="F9" s="11" t="s">
        <v>184</v>
      </c>
      <c r="G9" s="11">
        <f t="shared" ca="1" si="2"/>
        <v>41</v>
      </c>
    </row>
    <row r="10" spans="1:7" ht="15" customHeight="1" x14ac:dyDescent="0.25">
      <c r="A10" s="11">
        <v>6</v>
      </c>
      <c r="B10" s="11">
        <f t="shared" ca="1" si="0"/>
        <v>7</v>
      </c>
      <c r="C10" s="11">
        <f t="shared" ca="1" si="1"/>
        <v>12</v>
      </c>
      <c r="D10" s="14" cm="1">
        <f t="array" aca="1" ref="D10" ca="1">_xlfn.RANDARRAY(1,1,0,0.3,FALSE)</f>
        <v>4.4195864718166333E-2</v>
      </c>
      <c r="E10" s="15" cm="1">
        <f t="array" aca="1" ref="E10" ca="1">RANDBETWEEN("01/01/2020",TODAY())+_xlfn.RANDARRAY(1,1,1,59.03,FALSE)</f>
        <v>44242.7920329716</v>
      </c>
      <c r="F10" s="11" t="s">
        <v>184</v>
      </c>
      <c r="G10" s="11">
        <f t="shared" ca="1" si="2"/>
        <v>36</v>
      </c>
    </row>
    <row r="11" spans="1:7" ht="15" customHeight="1" x14ac:dyDescent="0.25">
      <c r="A11" s="11">
        <v>7</v>
      </c>
      <c r="B11" s="11">
        <f t="shared" ca="1" si="0"/>
        <v>5</v>
      </c>
      <c r="C11" s="11">
        <f t="shared" ca="1" si="1"/>
        <v>6</v>
      </c>
      <c r="D11" s="14" cm="1">
        <f t="array" aca="1" ref="D11" ca="1">_xlfn.RANDARRAY(1,1,0,0.3,FALSE)</f>
        <v>0.15161437419589813</v>
      </c>
      <c r="E11" s="15" cm="1">
        <f t="array" aca="1" ref="E11" ca="1">RANDBETWEEN("01/01/2020",TODAY())+_xlfn.RANDARRAY(1,1,1,59.03,FALSE)</f>
        <v>44756.565135858502</v>
      </c>
      <c r="F11" s="11" t="s">
        <v>184</v>
      </c>
      <c r="G11" s="11">
        <f t="shared" ca="1" si="2"/>
        <v>81</v>
      </c>
    </row>
    <row r="12" spans="1:7" x14ac:dyDescent="0.25">
      <c r="A12" s="11">
        <v>8</v>
      </c>
      <c r="B12" s="11">
        <f t="shared" ca="1" si="0"/>
        <v>8</v>
      </c>
      <c r="C12" s="11">
        <f t="shared" ca="1" si="1"/>
        <v>16</v>
      </c>
      <c r="D12" s="14" cm="1">
        <f t="array" aca="1" ref="D12" ca="1">_xlfn.RANDARRAY(1,1,0,0.3,FALSE)</f>
        <v>1.3472078071332327E-2</v>
      </c>
      <c r="E12" s="15" cm="1">
        <f t="array" aca="1" ref="E12" ca="1">RANDBETWEEN("01/01/2020",TODAY())+_xlfn.RANDARRAY(1,1,1,59.03,FALSE)</f>
        <v>44610.308898618321</v>
      </c>
      <c r="F12" s="11" t="s">
        <v>182</v>
      </c>
      <c r="G12" s="11">
        <f t="shared" ca="1" si="2"/>
        <v>50</v>
      </c>
    </row>
    <row r="13" spans="1:7" x14ac:dyDescent="0.25">
      <c r="A13" s="11">
        <v>9</v>
      </c>
      <c r="B13" s="11">
        <f t="shared" ca="1" si="0"/>
        <v>7</v>
      </c>
      <c r="C13" s="11">
        <f t="shared" ca="1" si="1"/>
        <v>14</v>
      </c>
      <c r="D13" s="14" cm="1">
        <f t="array" aca="1" ref="D13" ca="1">_xlfn.RANDARRAY(1,1,0,0.3,FALSE)</f>
        <v>0.15350056086962283</v>
      </c>
      <c r="E13" s="15" cm="1">
        <f t="array" aca="1" ref="E13" ca="1">RANDBETWEEN("01/01/2020",TODAY())+_xlfn.RANDARRAY(1,1,1,59.03,FALSE)</f>
        <v>44518.60710944036</v>
      </c>
      <c r="F13" s="11" t="s">
        <v>182</v>
      </c>
      <c r="G13" s="11">
        <f t="shared" ca="1" si="2"/>
        <v>52</v>
      </c>
    </row>
    <row r="14" spans="1:7" ht="15" customHeight="1" x14ac:dyDescent="0.25">
      <c r="A14" s="11">
        <v>10</v>
      </c>
      <c r="B14" s="11">
        <f t="shared" ca="1" si="0"/>
        <v>3</v>
      </c>
      <c r="C14" s="11">
        <f t="shared" ca="1" si="1"/>
        <v>6</v>
      </c>
      <c r="D14" s="14" cm="1">
        <f t="array" aca="1" ref="D14" ca="1">_xlfn.RANDARRAY(1,1,0,0.3,FALSE)</f>
        <v>0.1309246360509061</v>
      </c>
      <c r="E14" s="15" cm="1">
        <f t="array" aca="1" ref="E14" ca="1">RANDBETWEEN("01/01/2020",TODAY())+_xlfn.RANDARRAY(1,1,1,59.03,FALSE)</f>
        <v>44581.239222777964</v>
      </c>
      <c r="F14" s="11" t="s">
        <v>184</v>
      </c>
      <c r="G14" s="11">
        <f t="shared" ca="1" si="2"/>
        <v>24</v>
      </c>
    </row>
    <row r="15" spans="1:7" ht="15" customHeight="1" x14ac:dyDescent="0.25">
      <c r="A15" s="11">
        <v>11</v>
      </c>
      <c r="B15" s="11">
        <f t="shared" ca="1" si="0"/>
        <v>8</v>
      </c>
      <c r="C15" s="11">
        <f t="shared" ca="1" si="1"/>
        <v>17</v>
      </c>
      <c r="D15" s="14" cm="1">
        <f t="array" aca="1" ref="D15" ca="1">_xlfn.RANDARRAY(1,1,0,0.3,FALSE)</f>
        <v>0.26254058706464745</v>
      </c>
      <c r="E15" s="15" cm="1">
        <f t="array" aca="1" ref="E15" ca="1">RANDBETWEEN("01/01/2020",TODAY())+_xlfn.RANDARRAY(1,1,1,59.03,FALSE)</f>
        <v>44685.819399604879</v>
      </c>
      <c r="F15" s="11" t="s">
        <v>183</v>
      </c>
      <c r="G15" s="11">
        <f t="shared" ca="1" si="2"/>
        <v>3</v>
      </c>
    </row>
    <row r="16" spans="1:7" x14ac:dyDescent="0.25">
      <c r="A16" s="11">
        <v>12</v>
      </c>
      <c r="B16" s="11">
        <f t="shared" ca="1" si="0"/>
        <v>7</v>
      </c>
      <c r="C16" s="11">
        <f t="shared" ca="1" si="1"/>
        <v>16</v>
      </c>
      <c r="D16" s="14" cm="1">
        <f t="array" aca="1" ref="D16" ca="1">_xlfn.RANDARRAY(1,1,0,0.3,FALSE)</f>
        <v>6.9231158994052078E-2</v>
      </c>
      <c r="E16" s="15" cm="1">
        <f t="array" aca="1" ref="E16" ca="1">RANDBETWEEN("01/01/2020",TODAY())+_xlfn.RANDARRAY(1,1,1,59.03,FALSE)</f>
        <v>44057.230313197579</v>
      </c>
      <c r="F16" s="11" t="s">
        <v>184</v>
      </c>
      <c r="G16" s="11">
        <f t="shared" ca="1" si="2"/>
        <v>69</v>
      </c>
    </row>
  </sheetData>
  <mergeCells count="1">
    <mergeCell ref="A1:G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4"/>
  <sheetViews>
    <sheetView workbookViewId="0">
      <selection sqref="A1:C3"/>
    </sheetView>
  </sheetViews>
  <sheetFormatPr baseColWidth="10" defaultRowHeight="15" x14ac:dyDescent="0.25"/>
  <sheetData>
    <row r="1" spans="1:3" x14ac:dyDescent="0.25">
      <c r="A1" s="37" t="s">
        <v>187</v>
      </c>
      <c r="B1" s="38"/>
      <c r="C1" s="39"/>
    </row>
    <row r="2" spans="1:3" x14ac:dyDescent="0.25">
      <c r="A2" s="40"/>
      <c r="B2" s="41"/>
      <c r="C2" s="42"/>
    </row>
    <row r="3" spans="1:3" x14ac:dyDescent="0.25">
      <c r="A3" s="43"/>
      <c r="B3" s="44"/>
      <c r="C3" s="45"/>
    </row>
    <row r="4" spans="1:3" x14ac:dyDescent="0.25">
      <c r="A4" s="9" t="s">
        <v>76</v>
      </c>
      <c r="B4" s="4" t="s">
        <v>186</v>
      </c>
      <c r="C4" s="10" t="s">
        <v>167</v>
      </c>
    </row>
    <row r="5" spans="1:3" x14ac:dyDescent="0.25">
      <c r="A5" s="11">
        <v>1</v>
      </c>
      <c r="B5" s="11">
        <v>1</v>
      </c>
      <c r="C5" s="11">
        <f ca="1">RANDBETWEEN(1, 7)</f>
        <v>2</v>
      </c>
    </row>
    <row r="6" spans="1:3" x14ac:dyDescent="0.25">
      <c r="A6" s="11">
        <v>2</v>
      </c>
      <c r="B6" s="11">
        <v>2</v>
      </c>
      <c r="C6" s="11">
        <f t="shared" ref="C6:C14" ca="1" si="0">RANDBETWEEN(1, 7)</f>
        <v>7</v>
      </c>
    </row>
    <row r="7" spans="1:3" x14ac:dyDescent="0.25">
      <c r="A7" s="11">
        <v>3</v>
      </c>
      <c r="B7" s="11">
        <v>3</v>
      </c>
      <c r="C7" s="11">
        <f t="shared" ca="1" si="0"/>
        <v>4</v>
      </c>
    </row>
    <row r="8" spans="1:3" x14ac:dyDescent="0.25">
      <c r="A8" s="11">
        <v>4</v>
      </c>
      <c r="B8" s="11">
        <v>4</v>
      </c>
      <c r="C8" s="11">
        <f t="shared" ca="1" si="0"/>
        <v>1</v>
      </c>
    </row>
    <row r="9" spans="1:3" x14ac:dyDescent="0.25">
      <c r="A9" s="11">
        <v>5</v>
      </c>
      <c r="B9" s="11">
        <v>5</v>
      </c>
      <c r="C9" s="11">
        <f t="shared" ca="1" si="0"/>
        <v>5</v>
      </c>
    </row>
    <row r="10" spans="1:3" x14ac:dyDescent="0.25">
      <c r="A10" s="11">
        <v>6</v>
      </c>
      <c r="B10" s="11">
        <v>6</v>
      </c>
      <c r="C10" s="11">
        <f t="shared" ca="1" si="0"/>
        <v>2</v>
      </c>
    </row>
    <row r="11" spans="1:3" x14ac:dyDescent="0.25">
      <c r="A11" s="11">
        <v>7</v>
      </c>
      <c r="B11" s="11">
        <v>7</v>
      </c>
      <c r="C11" s="11">
        <f t="shared" ca="1" si="0"/>
        <v>7</v>
      </c>
    </row>
    <row r="12" spans="1:3" x14ac:dyDescent="0.25">
      <c r="A12" s="11">
        <v>8</v>
      </c>
      <c r="B12" s="11">
        <v>8</v>
      </c>
      <c r="C12" s="11">
        <f t="shared" ca="1" si="0"/>
        <v>3</v>
      </c>
    </row>
    <row r="13" spans="1:3" x14ac:dyDescent="0.25">
      <c r="A13" s="11">
        <v>9</v>
      </c>
      <c r="B13" s="11">
        <v>9</v>
      </c>
      <c r="C13" s="11">
        <f t="shared" ca="1" si="0"/>
        <v>5</v>
      </c>
    </row>
    <row r="14" spans="1:3" x14ac:dyDescent="0.25">
      <c r="A14" s="11">
        <v>10</v>
      </c>
      <c r="B14" s="11">
        <v>10</v>
      </c>
      <c r="C14" s="11">
        <f t="shared" ca="1" si="0"/>
        <v>7</v>
      </c>
    </row>
  </sheetData>
  <mergeCells count="1">
    <mergeCell ref="A1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4"/>
  <sheetViews>
    <sheetView workbookViewId="0">
      <selection activeCell="O55" sqref="O55"/>
    </sheetView>
  </sheetViews>
  <sheetFormatPr baseColWidth="10" defaultRowHeight="15" x14ac:dyDescent="0.25"/>
  <sheetData>
    <row r="1" spans="1:3" x14ac:dyDescent="0.25">
      <c r="A1" s="51" t="s">
        <v>188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6" t="s">
        <v>76</v>
      </c>
      <c r="B4" s="5" t="s">
        <v>186</v>
      </c>
      <c r="C4" s="7" t="s">
        <v>167</v>
      </c>
    </row>
    <row r="5" spans="1:3" x14ac:dyDescent="0.25">
      <c r="A5" s="8">
        <v>1</v>
      </c>
      <c r="B5" s="8">
        <v>1</v>
      </c>
      <c r="C5" s="8">
        <v>1</v>
      </c>
    </row>
    <row r="6" spans="1:3" x14ac:dyDescent="0.25">
      <c r="A6" s="8">
        <v>2</v>
      </c>
      <c r="B6" s="8">
        <v>2</v>
      </c>
      <c r="C6" s="8">
        <v>6</v>
      </c>
    </row>
    <row r="7" spans="1:3" x14ac:dyDescent="0.25">
      <c r="A7" s="8">
        <v>3</v>
      </c>
      <c r="B7" s="8">
        <v>3</v>
      </c>
      <c r="C7" s="8">
        <v>4</v>
      </c>
    </row>
    <row r="8" spans="1:3" x14ac:dyDescent="0.25">
      <c r="A8" s="8">
        <v>4</v>
      </c>
      <c r="B8" s="8">
        <v>4</v>
      </c>
      <c r="C8" s="8">
        <v>4</v>
      </c>
    </row>
    <row r="9" spans="1:3" x14ac:dyDescent="0.25">
      <c r="A9" s="8">
        <v>5</v>
      </c>
      <c r="B9" s="8">
        <v>5</v>
      </c>
      <c r="C9" s="8">
        <v>1</v>
      </c>
    </row>
    <row r="10" spans="1:3" x14ac:dyDescent="0.25">
      <c r="A10" s="8">
        <v>6</v>
      </c>
      <c r="B10" s="8">
        <v>6</v>
      </c>
      <c r="C10" s="8">
        <v>4</v>
      </c>
    </row>
    <row r="11" spans="1:3" x14ac:dyDescent="0.25">
      <c r="A11" s="8">
        <v>7</v>
      </c>
      <c r="B11" s="8">
        <v>7</v>
      </c>
      <c r="C11" s="8">
        <v>3</v>
      </c>
    </row>
    <row r="12" spans="1:3" x14ac:dyDescent="0.25">
      <c r="A12" s="8">
        <v>8</v>
      </c>
      <c r="B12" s="8">
        <v>8</v>
      </c>
      <c r="C12" s="8">
        <v>4</v>
      </c>
    </row>
    <row r="13" spans="1:3" x14ac:dyDescent="0.25">
      <c r="A13" s="8">
        <v>9</v>
      </c>
      <c r="B13" s="8">
        <v>9</v>
      </c>
      <c r="C13" s="8">
        <v>3</v>
      </c>
    </row>
    <row r="14" spans="1:3" x14ac:dyDescent="0.25">
      <c r="A14" s="8">
        <v>10</v>
      </c>
      <c r="B14" s="8">
        <v>10</v>
      </c>
      <c r="C14" s="8">
        <v>2</v>
      </c>
    </row>
  </sheetData>
  <mergeCells count="1">
    <mergeCell ref="A1:C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B3AB-14E2-4CFF-8D52-3DDBCAE7BC30}">
  <sheetPr codeName="Feuil13"/>
  <dimension ref="A1:C16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51" t="s">
        <v>232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76</v>
      </c>
      <c r="B4" s="23" t="s">
        <v>186</v>
      </c>
      <c r="C4" s="23" t="s">
        <v>233</v>
      </c>
    </row>
    <row r="5" spans="1:3" x14ac:dyDescent="0.25">
      <c r="A5" s="11">
        <v>1</v>
      </c>
      <c r="B5" s="11">
        <v>1</v>
      </c>
      <c r="C5" s="11">
        <v>1</v>
      </c>
    </row>
    <row r="6" spans="1:3" x14ac:dyDescent="0.25">
      <c r="A6" s="11">
        <v>2</v>
      </c>
      <c r="B6" s="11">
        <v>2</v>
      </c>
      <c r="C6" s="11">
        <v>2</v>
      </c>
    </row>
    <row r="7" spans="1:3" x14ac:dyDescent="0.25">
      <c r="A7" s="11">
        <v>3</v>
      </c>
      <c r="B7" s="11">
        <v>3</v>
      </c>
      <c r="C7" s="11">
        <v>4</v>
      </c>
    </row>
    <row r="8" spans="1:3" x14ac:dyDescent="0.25">
      <c r="A8" s="11">
        <v>4</v>
      </c>
      <c r="B8" s="11">
        <v>4</v>
      </c>
      <c r="C8" s="11">
        <v>6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7</v>
      </c>
    </row>
    <row r="11" spans="1:3" x14ac:dyDescent="0.25">
      <c r="A11" s="11">
        <v>7</v>
      </c>
      <c r="B11" s="11">
        <v>7</v>
      </c>
      <c r="C11" s="11">
        <v>8</v>
      </c>
    </row>
    <row r="12" spans="1:3" x14ac:dyDescent="0.25">
      <c r="A12" s="11">
        <v>8</v>
      </c>
      <c r="B12" s="11">
        <v>7</v>
      </c>
      <c r="C12" s="11">
        <v>9</v>
      </c>
    </row>
    <row r="13" spans="1:3" x14ac:dyDescent="0.25">
      <c r="A13" s="11">
        <v>9</v>
      </c>
      <c r="B13" s="11">
        <v>8</v>
      </c>
      <c r="C13" s="11">
        <v>8</v>
      </c>
    </row>
    <row r="14" spans="1:3" x14ac:dyDescent="0.25">
      <c r="A14" s="11">
        <v>10</v>
      </c>
      <c r="B14" s="11">
        <v>8</v>
      </c>
      <c r="C14" s="11">
        <v>9</v>
      </c>
    </row>
    <row r="15" spans="1:3" x14ac:dyDescent="0.25">
      <c r="A15" s="11">
        <v>11</v>
      </c>
      <c r="B15" s="11">
        <v>9</v>
      </c>
      <c r="C15" s="11">
        <v>10</v>
      </c>
    </row>
    <row r="16" spans="1:3" x14ac:dyDescent="0.25">
      <c r="A16" s="11">
        <v>12</v>
      </c>
      <c r="B16" s="11">
        <v>10</v>
      </c>
      <c r="C16" s="11">
        <v>11</v>
      </c>
    </row>
  </sheetData>
  <mergeCells count="1">
    <mergeCell ref="A1: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7E0D-7499-4B7C-B7D1-9F516F26FDA8}">
  <sheetPr codeName="Feuil12"/>
  <dimension ref="A1:C15"/>
  <sheetViews>
    <sheetView tabSelected="1" workbookViewId="0">
      <selection activeCell="T20" sqref="T20"/>
    </sheetView>
  </sheetViews>
  <sheetFormatPr baseColWidth="10" defaultRowHeight="15" x14ac:dyDescent="0.25"/>
  <sheetData>
    <row r="1" spans="1:3" x14ac:dyDescent="0.25">
      <c r="A1" s="51" t="s">
        <v>234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76</v>
      </c>
      <c r="B4" s="23" t="s">
        <v>175</v>
      </c>
      <c r="C4" s="23" t="s">
        <v>233</v>
      </c>
    </row>
    <row r="5" spans="1:3" x14ac:dyDescent="0.25">
      <c r="A5" s="11">
        <v>1</v>
      </c>
      <c r="B5" s="11">
        <v>1</v>
      </c>
      <c r="C5" s="11">
        <v>3</v>
      </c>
    </row>
    <row r="6" spans="1:3" x14ac:dyDescent="0.25">
      <c r="A6" s="11">
        <v>2</v>
      </c>
      <c r="B6" s="11">
        <v>1</v>
      </c>
      <c r="C6" s="11">
        <v>12</v>
      </c>
    </row>
    <row r="7" spans="1:3" x14ac:dyDescent="0.25">
      <c r="A7" s="11">
        <v>3</v>
      </c>
      <c r="B7" s="11">
        <v>2</v>
      </c>
      <c r="C7" s="11">
        <v>13</v>
      </c>
    </row>
    <row r="8" spans="1:3" x14ac:dyDescent="0.25">
      <c r="A8" s="11">
        <v>4</v>
      </c>
      <c r="B8" s="11">
        <v>3</v>
      </c>
      <c r="C8" s="11">
        <v>14</v>
      </c>
    </row>
    <row r="9" spans="1:3" x14ac:dyDescent="0.25">
      <c r="A9" s="11">
        <v>5</v>
      </c>
      <c r="B9" s="11">
        <v>4</v>
      </c>
      <c r="C9" s="19">
        <v>16</v>
      </c>
    </row>
    <row r="10" spans="1:3" x14ac:dyDescent="0.25">
      <c r="A10" s="11">
        <v>6</v>
      </c>
      <c r="B10" s="11">
        <v>5</v>
      </c>
      <c r="C10" s="19">
        <v>18</v>
      </c>
    </row>
    <row r="11" spans="1:3" x14ac:dyDescent="0.25">
      <c r="A11" s="11">
        <v>7</v>
      </c>
      <c r="B11" s="11">
        <v>6</v>
      </c>
      <c r="C11" s="19">
        <v>19</v>
      </c>
    </row>
    <row r="12" spans="1:3" x14ac:dyDescent="0.25">
      <c r="A12" s="11">
        <v>8</v>
      </c>
      <c r="B12" s="19">
        <v>7</v>
      </c>
      <c r="C12" s="19">
        <v>20</v>
      </c>
    </row>
    <row r="13" spans="1:3" x14ac:dyDescent="0.25">
      <c r="A13" s="11">
        <v>9</v>
      </c>
      <c r="B13" s="19">
        <v>8</v>
      </c>
      <c r="C13" s="19">
        <v>15</v>
      </c>
    </row>
    <row r="14" spans="1:3" x14ac:dyDescent="0.25">
      <c r="A14" s="11">
        <v>10</v>
      </c>
      <c r="B14" s="19">
        <v>9</v>
      </c>
      <c r="C14" s="19">
        <v>1</v>
      </c>
    </row>
    <row r="15" spans="1:3" x14ac:dyDescent="0.25">
      <c r="A15" s="11">
        <v>11</v>
      </c>
      <c r="B15" s="19">
        <v>10</v>
      </c>
      <c r="C15" s="19">
        <v>3</v>
      </c>
    </row>
  </sheetData>
  <mergeCells count="1"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  <vt:lpstr>play_in_movie</vt:lpstr>
      <vt:lpstr>play_in_tv_show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2022-09-23T20:15:53Z</dcterms:modified>
  <cp:category/>
</cp:coreProperties>
</file>
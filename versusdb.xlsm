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72F8C857-0BEC-4A28-8E82-34AFC248225D}" xr6:coauthVersionLast="47" xr6:coauthVersionMax="47" xr10:uidLastSave="{00000000-0000-0000-0000-000000000000}"/>
  <bookViews>
    <workbookView xWindow="-38520" yWindow="-120" windowWidth="38640" windowHeight="21120" activeTab="5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6" i="7" l="1" a="1"/>
  <c r="E16" i="7" s="1"/>
  <c r="E15" i="7" a="1"/>
  <c r="E15" i="7"/>
  <c r="E14" i="7" a="1"/>
  <c r="E14" i="7"/>
  <c r="E13" i="7" a="1"/>
  <c r="E13" i="7"/>
  <c r="E12" i="7" a="1"/>
  <c r="E12" i="7"/>
  <c r="E11" i="7" a="1"/>
  <c r="E11" i="7"/>
  <c r="E10" i="7" a="1"/>
  <c r="E10" i="7"/>
  <c r="E9" i="7" a="1"/>
  <c r="E9" i="7" s="1"/>
  <c r="E8" i="7" a="1"/>
  <c r="E8" i="7" s="1"/>
  <c r="E7" i="7" a="1"/>
  <c r="E7" i="7"/>
  <c r="E6" i="7" a="1"/>
  <c r="E6" i="7"/>
  <c r="E5" i="7" a="1"/>
  <c r="E5" i="7"/>
  <c r="D16" i="7" a="1"/>
  <c r="D16" i="7"/>
  <c r="D15" i="7" a="1"/>
  <c r="D15" i="7" s="1"/>
  <c r="D14" i="7" a="1"/>
  <c r="D14" i="7" s="1"/>
  <c r="D13" i="7" a="1"/>
  <c r="D13" i="7" s="1"/>
  <c r="D12" i="7" a="1"/>
  <c r="D12" i="7" s="1"/>
  <c r="D11" i="7" a="1"/>
  <c r="D11" i="7"/>
  <c r="D10" i="7" a="1"/>
  <c r="D10" i="7"/>
  <c r="D8" i="7" a="1"/>
  <c r="D8" i="7"/>
  <c r="D9" i="7" a="1"/>
  <c r="D9" i="7" s="1"/>
  <c r="D7" i="7" a="1"/>
  <c r="D7" i="7"/>
  <c r="D6" i="7" a="1"/>
  <c r="D6" i="7"/>
  <c r="D5" i="7" a="1"/>
  <c r="D5" i="7"/>
  <c r="E15" i="6" a="1"/>
  <c r="E15" i="6" s="1"/>
  <c r="E16" i="6" a="1"/>
  <c r="E16" i="6"/>
  <c r="E14" i="6" a="1"/>
  <c r="E14" i="6"/>
  <c r="E13" i="6" a="1"/>
  <c r="E13" i="6"/>
  <c r="E12" i="6" a="1"/>
  <c r="E12" i="6"/>
  <c r="E11" i="6" a="1"/>
  <c r="E11" i="6"/>
  <c r="E10" i="6" a="1"/>
  <c r="E10" i="6"/>
  <c r="D16" i="6" a="1"/>
  <c r="D16" i="6"/>
  <c r="E9" i="6" a="1"/>
  <c r="E9" i="6"/>
  <c r="E8" i="6" a="1"/>
  <c r="E8" i="6"/>
  <c r="E7" i="6" a="1"/>
  <c r="E7" i="6" s="1"/>
  <c r="E6" i="6" a="1"/>
  <c r="E6" i="6"/>
  <c r="E5" i="6" a="1"/>
  <c r="E5" i="6"/>
  <c r="D15" i="6" a="1"/>
  <c r="D15" i="6"/>
  <c r="D14" i="6" a="1"/>
  <c r="D14" i="6" s="1"/>
  <c r="D13" i="6" a="1"/>
  <c r="D13" i="6"/>
  <c r="D12" i="6" a="1"/>
  <c r="D12" i="6"/>
  <c r="D11" i="6" a="1"/>
  <c r="D11" i="6"/>
  <c r="D10" i="6" a="1"/>
  <c r="D10" i="6"/>
  <c r="D9" i="6" a="1"/>
  <c r="D9" i="6"/>
  <c r="D8" i="6" a="1"/>
  <c r="D8" i="6" s="1"/>
  <c r="D7" i="6" a="1"/>
  <c r="D7" i="6"/>
  <c r="D6" i="6" a="1"/>
  <c r="D6" i="6"/>
  <c r="D5" i="6" a="1"/>
  <c r="D5" i="6" s="1"/>
  <c r="D14" i="5" a="1"/>
  <c r="D14" i="5"/>
  <c r="D13" i="5" a="1"/>
  <c r="D13" i="5"/>
  <c r="D12" i="5" a="1"/>
  <c r="D12" i="5"/>
  <c r="D11" i="5" a="1"/>
  <c r="D11" i="5"/>
  <c r="D10" i="5" a="1"/>
  <c r="D10" i="5"/>
  <c r="D9" i="5" a="1"/>
  <c r="D9" i="5"/>
  <c r="D8" i="5" a="1"/>
  <c r="D8" i="5"/>
  <c r="D7" i="5" a="1"/>
  <c r="D7" i="5" s="1"/>
  <c r="D6" i="5" a="1"/>
  <c r="D6" i="5"/>
  <c r="D5" i="5" a="1"/>
  <c r="D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<sst xmlns="http://schemas.openxmlformats.org/spreadsheetml/2006/main" count="423" uniqueCount="265">
  <si>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</si>
  <si>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</si>
  <si>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</si>
  <si>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</si>
  <si>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</si>
  <si>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</si>
  <si>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</si>
  <si>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</si>
  <si>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</si>
  <si>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</si>
  <si>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</si>
  <si>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</si>
  <si>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</si>
  <si>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</si>
  <si>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</si>
  <si>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</si>
  <si>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</si>
  <si>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</si>
  <si>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</si>
  <si>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</si>
  <si>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</si>
  <si>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</si>
  <si>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</si>
  <si>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</si>
  <si>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</si>
  <si>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</si>
  <si>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</si>
  <si>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</si>
  <si>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</si>
  <si>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</si>
  <si>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</si>
  <si>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</si>
  <si>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</si>
  <si>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</si>
  <si>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</si>
  <si>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</si>
  <si>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</si>
  <si>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</si>
  <si>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</si>
  <si>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</si>
  <si>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</si>
  <si>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</si>
  <si>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</si>
  <si>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</si>
  <si>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</si>
  <si>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</si>
  <si>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</si>
  <si>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</si>
  <si>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</si>
  <si>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</si>
  <si>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</si>
  <si>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</si>
  <si>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</si>
  <si>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</si>
  <si>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</si>
  <si>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</si>
  <si>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</si>
  <si>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</si>
  <si>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</si>
  <si>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</si>
  <si>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</si>
  <si>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</si>
  <si>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</si>
  <si>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</si>
  <si>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</si>
  <si>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</si>
  <si>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</si>
  <si>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</si>
  <si>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</si>
  <si>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</si>
  <si>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</si>
  <si>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</si>
  <si>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</si>
  <si>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</si>
  <si>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</si>
  <si>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</si>
  <si>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</si>
  <si>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</si>
  <si>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</si>
  <si>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</si>
  <si>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</si>
  <si>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</si>
  <si>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</si>
  <si>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</si>
  <si>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</si>
  <si>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</si>
  <si>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</si>
  <si>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</si>
  <si>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</si>
  <si>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</si>
  <si>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</si>
  <si>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</si>
  <si>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</si>
  <si>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</si>
  <si>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</si>
  <si>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</si>
  <si>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</si>
  <si>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</si>
  <si>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</si>
  <si>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</si>
  <si>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</si>
  <si>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</si>
  <si>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</si>
  <si>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</si>
  <si>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</si>
  <si>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</si>
  <si>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</si>
  <si>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</si>
  <si>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</si>
  <si>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</si>
  <si>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</si>
  <si>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</si>
  <si>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</si>
  <si>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</si>
  <si>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</si>
  <si>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</si>
  <si>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</si>
  <si>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</si>
  <si>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</si>
  <si>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</si>
  <si>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</si>
  <si>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</si>
  <si>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</si>
  <si>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</si>
  <si>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</si>
  <si>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</si>
  <si>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</si>
  <si>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</si>
  <si>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</si>
  <si>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</si>
  <si>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</si>
  <si>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</si>
  <si>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</si>
  <si>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</si>
  <si>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</si>
  <si>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</si>
  <si>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</si>
  <si>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</si>
  <si>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</si>
  <si>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</si>
  <si>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</si>
  <si>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</si>
  <si>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</si>
  <si>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</si>
  <si>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</si>
  <si>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</si>
  <si>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</si>
  <si>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</si>
  <si>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</si>
  <si>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</si>
  <si>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</si>
  <si>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</si>
  <si>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</si>
  <si>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</si>
  <si>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</si>
  <si>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</si>
  <si>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</si>
  <si>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</si>
  <si>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</si>
  <si>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</si>
  <si>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</si>
  <si>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</si>
  <si>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</si>
  <si>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</si>
  <si>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</si>
  <si>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</si>
  <si>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</si>
  <si>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</si>
  <si>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</si>
  <si>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</si>
  <si>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</si>
  <si>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</si>
  <si>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</si>
  <si>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</si>
  <si>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</si>
  <si>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</si>
  <si>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</si>
  <si>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</si>
  <si>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</si>
  <si>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</si>
  <si>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</si>
  <si>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</si>
  <si>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</si>
  <si>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</si>
  <si>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</si>
  <si>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</si>
  <si>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</si>
  <si>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</si>
  <si>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</si>
  <si>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</si>
  <si>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</si>
  <si>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</si>
  <si>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</si>
  <si>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</si>
  <si>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</si>
  <si>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</si>
  <si>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</si>
  <si>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</si>
  <si>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</si>
  <si>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</si>
  <si>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</si>
  <si>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</si>
  <si>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</si>
  <si>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</si>
  <si>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</si>
  <si>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</si>
  <si>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</si>
  <si>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</si>
  <si>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</si>
  <si>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</si>
  <si>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</si>
  <si>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</si>
  <si>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</si>
  <si>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</si>
  <si>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</si>
  <si>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</si>
  <si>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</si>
  <si>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</si>
  <si>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</si>
  <si>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</si>
  <si>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</si>
  <si>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</si>
  <si>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</si>
  <si>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</si>
  <si>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</si>
  <si>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</si>
  <si>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</si>
  <si>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</si>
  <si>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</si>
  <si>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</si>
  <si>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</si>
  <si>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</si>
  <si>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</si>
  <si>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</si>
  <si>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</si>
  <si>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</si>
  <si>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</si>
  <si>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</si>
  <si>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</si>
  <si>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</si>
  <si>
    <t>17.99</t>
  </si>
  <si>
    <t>6.99</t>
  </si>
  <si>
    <t>8.99</t>
  </si>
  <si>
    <t>24.99</t>
  </si>
  <si>
    <t>10.99</t>
  </si>
  <si>
    <t>4.99</t>
  </si>
  <si>
    <t>americain</t>
  </si>
  <si>
    <t>clement</t>
  </si>
  <si>
    <t>WBQ98zgn</t>
  </si>
  <si>
    <t>DIA36hgg</t>
  </si>
  <si>
    <t>HIZ34rvu</t>
  </si>
  <si>
    <t>XSM48kth</t>
  </si>
  <si>
    <t>OXK84sfv</t>
  </si>
  <si>
    <t>HJZ48xbw</t>
  </si>
  <si>
    <t>NDE39gzn</t>
  </si>
  <si>
    <t>DPU44cbk</t>
  </si>
  <si>
    <t>QIX89wnu</t>
  </si>
  <si>
    <t>ETL78fkw</t>
  </si>
  <si>
    <t>HPI29gbp</t>
  </si>
  <si>
    <t>HTR63eam</t>
  </si>
  <si>
    <t>PWL89sjq</t>
  </si>
  <si>
    <t>KGP42scy</t>
  </si>
  <si>
    <t>IMB30dkb</t>
  </si>
  <si>
    <t>IEL97keu</t>
  </si>
  <si>
    <t>DXG99hpj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</si>
</sst>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49" fontId="0" fillId="0" borderId="2" xfId="0" applyNumberFormat="1" applyBorder="1"/>
    <xf numFmtId="1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B14" sqref="B14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5.75" customHeight="1" x14ac:dyDescent="0.25">
      <c r="A3" s="31"/>
      <c r="B3" s="32"/>
      <c r="C3" s="32"/>
      <c r="D3" s="32"/>
      <c r="E3" s="32"/>
      <c r="F3" s="32"/>
      <c r="G3" s="32"/>
      <c r="H3" s="32"/>
      <c r="I3" s="33"/>
    </row>
    <row r="4" spans="1:9" x14ac:dyDescent="0.25">
      <c r="A4" s="20" t="s">
        <v>75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26">
        <v>1</v>
      </c>
      <c r="B5" s="25" t="s">
        <v>8</v>
      </c>
      <c r="C5" s="25" t="s">
        <v>25</v>
      </c>
      <c r="D5" s="25" t="s">
        <v>38</v>
      </c>
      <c r="E5" s="18" t="s">
        <v>40</v>
      </c>
      <c r="F5" s="22">
        <v>36660</v>
      </c>
      <c r="G5" s="18" t="s">
        <v>57</v>
      </c>
      <c r="H5" s="18" t="s">
        <v>248</v>
      </c>
      <c r="I5" s="18" t="s">
        <v>74</v>
      </c>
    </row>
    <row r="6" spans="1:9" x14ac:dyDescent="0.25">
      <c r="A6" s="26">
        <v>2</v>
      </c>
      <c r="B6" s="25" t="s">
        <v>9</v>
      </c>
      <c r="C6" s="25" t="s">
        <v>26</v>
      </c>
      <c r="D6" s="25" t="s">
        <v>38</v>
      </c>
      <c r="E6" s="18" t="s">
        <v>41</v>
      </c>
      <c r="F6" s="22">
        <v>38060</v>
      </c>
      <c r="G6" s="18" t="s">
        <v>58</v>
      </c>
      <c r="H6" s="18" t="s">
        <v>249</v>
      </c>
      <c r="I6" s="18" t="s">
        <v>74</v>
      </c>
    </row>
    <row r="7" spans="1:9" x14ac:dyDescent="0.25">
      <c r="A7" s="26">
        <v>3</v>
      </c>
      <c r="B7" s="25" t="s">
        <v>10</v>
      </c>
      <c r="C7" s="25" t="s">
        <v>27</v>
      </c>
      <c r="D7" s="25" t="s">
        <v>38</v>
      </c>
      <c r="E7" s="18" t="s">
        <v>42</v>
      </c>
      <c r="F7" s="22">
        <v>38067</v>
      </c>
      <c r="G7" s="18" t="s">
        <v>59</v>
      </c>
      <c r="H7" s="18" t="s">
        <v>250</v>
      </c>
      <c r="I7" s="18" t="s">
        <v>74</v>
      </c>
    </row>
    <row r="8" spans="1:9" x14ac:dyDescent="0.25">
      <c r="A8" s="26">
        <v>4</v>
      </c>
      <c r="B8" s="25" t="s">
        <v>11</v>
      </c>
      <c r="C8" s="25" t="s">
        <v>28</v>
      </c>
      <c r="D8" s="25" t="s">
        <v>38</v>
      </c>
      <c r="E8" s="18" t="s">
        <v>43</v>
      </c>
      <c r="F8" s="22">
        <v>37436</v>
      </c>
      <c r="G8" s="18" t="s">
        <v>60</v>
      </c>
      <c r="H8" s="18" t="s">
        <v>251</v>
      </c>
      <c r="I8" s="18" t="s">
        <v>74</v>
      </c>
    </row>
    <row r="9" spans="1:9" x14ac:dyDescent="0.25">
      <c r="A9" s="26">
        <v>5</v>
      </c>
      <c r="B9" s="25" t="s">
        <v>12</v>
      </c>
      <c r="C9" s="25" t="s">
        <v>29</v>
      </c>
      <c r="D9" s="25" t="s">
        <v>39</v>
      </c>
      <c r="E9" s="18" t="s">
        <v>44</v>
      </c>
      <c r="F9" s="22">
        <v>35149</v>
      </c>
      <c r="G9" s="18" t="s">
        <v>61</v>
      </c>
      <c r="H9" s="18" t="s">
        <v>252</v>
      </c>
      <c r="I9" s="18" t="s">
        <v>74</v>
      </c>
    </row>
    <row r="10" spans="1:9" x14ac:dyDescent="0.25">
      <c r="A10" s="26">
        <v>6</v>
      </c>
      <c r="B10" s="25" t="s">
        <v>13</v>
      </c>
      <c r="C10" s="25" t="s">
        <v>31</v>
      </c>
      <c r="D10" s="25" t="s">
        <v>38</v>
      </c>
      <c r="E10" s="18" t="s">
        <v>45</v>
      </c>
      <c r="F10" s="22">
        <v>35394</v>
      </c>
      <c r="G10" s="18" t="s">
        <v>62</v>
      </c>
      <c r="H10" s="18" t="s">
        <v>253</v>
      </c>
      <c r="I10" s="18" t="s">
        <v>74</v>
      </c>
    </row>
    <row r="11" spans="1:9" x14ac:dyDescent="0.25">
      <c r="A11" s="26">
        <v>7</v>
      </c>
      <c r="B11" s="25" t="s">
        <v>14</v>
      </c>
      <c r="C11" s="25" t="s">
        <v>30</v>
      </c>
      <c r="D11" s="25" t="s">
        <v>38</v>
      </c>
      <c r="E11" s="18" t="s">
        <v>46</v>
      </c>
      <c r="F11" s="22">
        <v>37686</v>
      </c>
      <c r="G11" s="18" t="s">
        <v>63</v>
      </c>
      <c r="H11" s="18" t="s">
        <v>254</v>
      </c>
      <c r="I11" s="18" t="s">
        <v>74</v>
      </c>
    </row>
    <row r="12" spans="1:9" x14ac:dyDescent="0.25">
      <c r="A12" s="26">
        <v>8</v>
      </c>
      <c r="B12" s="25" t="s">
        <v>15</v>
      </c>
      <c r="C12" s="25" t="s">
        <v>247</v>
      </c>
      <c r="D12" s="25" t="s">
        <v>38</v>
      </c>
      <c r="E12" s="18" t="s">
        <v>47</v>
      </c>
      <c r="F12" s="22">
        <v>38341</v>
      </c>
      <c r="G12" s="18" t="s">
        <v>64</v>
      </c>
      <c r="H12" s="18" t="s">
        <v>255</v>
      </c>
      <c r="I12" s="18" t="s">
        <v>74</v>
      </c>
    </row>
    <row r="13" spans="1:9" x14ac:dyDescent="0.25">
      <c r="A13" s="26">
        <v>9</v>
      </c>
      <c r="B13" s="25" t="s">
        <v>16</v>
      </c>
      <c r="C13" s="25" t="s">
        <v>32</v>
      </c>
      <c r="D13" s="25" t="s">
        <v>38</v>
      </c>
      <c r="E13" s="18" t="s">
        <v>48</v>
      </c>
      <c r="F13" s="22">
        <v>37286</v>
      </c>
      <c r="G13" s="18" t="s">
        <v>65</v>
      </c>
      <c r="H13" s="18" t="s">
        <v>256</v>
      </c>
      <c r="I13" s="18" t="s">
        <v>74</v>
      </c>
    </row>
    <row r="14" spans="1:9" x14ac:dyDescent="0.25">
      <c r="A14" s="26">
        <v>10</v>
      </c>
      <c r="B14" s="25" t="s">
        <v>17</v>
      </c>
      <c r="C14" s="25" t="s">
        <v>247</v>
      </c>
      <c r="D14" s="25" t="s">
        <v>38</v>
      </c>
      <c r="E14" s="18" t="s">
        <v>49</v>
      </c>
      <c r="F14" s="22">
        <v>37824</v>
      </c>
      <c r="G14" s="18" t="s">
        <v>66</v>
      </c>
      <c r="H14" s="18" t="s">
        <v>257</v>
      </c>
      <c r="I14" s="18" t="s">
        <v>74</v>
      </c>
    </row>
    <row r="15" spans="1:9" x14ac:dyDescent="0.25">
      <c r="A15" s="26">
        <v>11</v>
      </c>
      <c r="B15" s="25" t="s">
        <v>18</v>
      </c>
      <c r="C15" s="25" t="s">
        <v>33</v>
      </c>
      <c r="D15" s="25" t="s">
        <v>39</v>
      </c>
      <c r="E15" s="18" t="s">
        <v>50</v>
      </c>
      <c r="F15" s="22">
        <v>35056</v>
      </c>
      <c r="G15" s="18" t="s">
        <v>67</v>
      </c>
      <c r="H15" s="18" t="s">
        <v>258</v>
      </c>
      <c r="I15" s="18" t="s">
        <v>74</v>
      </c>
    </row>
    <row r="16" spans="1:9" x14ac:dyDescent="0.25">
      <c r="A16" s="26">
        <v>12</v>
      </c>
      <c r="B16" s="25" t="s">
        <v>19</v>
      </c>
      <c r="C16" s="25" t="s">
        <v>26</v>
      </c>
      <c r="D16" s="25" t="s">
        <v>38</v>
      </c>
      <c r="E16" s="18" t="s">
        <v>51</v>
      </c>
      <c r="F16" s="22">
        <v>38226</v>
      </c>
      <c r="G16" s="18" t="s">
        <v>68</v>
      </c>
      <c r="H16" s="18" t="s">
        <v>259</v>
      </c>
      <c r="I16" s="18" t="s">
        <v>74</v>
      </c>
    </row>
    <row r="17" spans="1:9" x14ac:dyDescent="0.25">
      <c r="A17" s="26">
        <v>13</v>
      </c>
      <c r="B17" s="25" t="s">
        <v>20</v>
      </c>
      <c r="C17" s="25" t="s">
        <v>34</v>
      </c>
      <c r="D17" s="25" t="s">
        <v>38</v>
      </c>
      <c r="E17" s="18" t="s">
        <v>52</v>
      </c>
      <c r="F17" s="22">
        <v>37176</v>
      </c>
      <c r="G17" s="18" t="s">
        <v>69</v>
      </c>
      <c r="H17" s="18" t="s">
        <v>260</v>
      </c>
      <c r="I17" s="18" t="s">
        <v>74</v>
      </c>
    </row>
    <row r="18" spans="1:9" x14ac:dyDescent="0.25">
      <c r="A18" s="26">
        <v>14</v>
      </c>
      <c r="B18" s="25" t="s">
        <v>21</v>
      </c>
      <c r="C18" s="25" t="s">
        <v>35</v>
      </c>
      <c r="D18" s="25" t="s">
        <v>38</v>
      </c>
      <c r="E18" s="18" t="s">
        <v>53</v>
      </c>
      <c r="F18" s="22">
        <v>35618</v>
      </c>
      <c r="G18" s="18" t="s">
        <v>70</v>
      </c>
      <c r="H18" s="18" t="s">
        <v>261</v>
      </c>
      <c r="I18" s="18" t="s">
        <v>74</v>
      </c>
    </row>
    <row r="19" spans="1:9" x14ac:dyDescent="0.25">
      <c r="A19" s="26">
        <v>15</v>
      </c>
      <c r="B19" s="25" t="s">
        <v>22</v>
      </c>
      <c r="C19" s="25" t="s">
        <v>30</v>
      </c>
      <c r="D19" s="25" t="s">
        <v>38</v>
      </c>
      <c r="E19" s="18" t="s">
        <v>54</v>
      </c>
      <c r="F19" s="22">
        <v>36898</v>
      </c>
      <c r="G19" s="18" t="s">
        <v>71</v>
      </c>
      <c r="H19" s="18" t="s">
        <v>262</v>
      </c>
      <c r="I19" s="18" t="s">
        <v>74</v>
      </c>
    </row>
    <row r="20" spans="1:9" x14ac:dyDescent="0.25">
      <c r="A20" s="26">
        <v>16</v>
      </c>
      <c r="B20" s="25" t="s">
        <v>23</v>
      </c>
      <c r="C20" s="25" t="s">
        <v>36</v>
      </c>
      <c r="D20" s="25" t="s">
        <v>38</v>
      </c>
      <c r="E20" s="18" t="s">
        <v>55</v>
      </c>
      <c r="F20" s="22">
        <v>38351</v>
      </c>
      <c r="G20" s="18" t="s">
        <v>72</v>
      </c>
      <c r="H20" s="18" t="s">
        <v>263</v>
      </c>
      <c r="I20" s="18" t="s">
        <v>74</v>
      </c>
    </row>
    <row r="21" spans="1:9" x14ac:dyDescent="0.25">
      <c r="A21" s="26">
        <v>17</v>
      </c>
      <c r="B21" s="25" t="s">
        <v>24</v>
      </c>
      <c r="C21" s="25" t="s">
        <v>37</v>
      </c>
      <c r="D21" s="25" t="s">
        <v>38</v>
      </c>
      <c r="E21" s="18" t="s">
        <v>56</v>
      </c>
      <c r="F21" s="22">
        <v>36916</v>
      </c>
      <c r="G21" s="18" t="s">
        <v>73</v>
      </c>
      <c r="H21" s="18" t="s">
        <v>264</v>
      </c>
      <c r="I21" s="18" t="s">
        <v>74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B12" sqref="B12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8" t="s">
        <v>77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75</v>
      </c>
      <c r="B4" s="2" t="s">
        <v>76</v>
      </c>
      <c r="C4" s="2" t="s">
        <v>78</v>
      </c>
      <c r="D4" s="2" t="s">
        <v>79</v>
      </c>
      <c r="E4" s="2" t="s">
        <v>80</v>
      </c>
      <c r="F4" s="2" t="s">
        <v>81</v>
      </c>
      <c r="G4" s="13" t="s">
        <v>82</v>
      </c>
    </row>
    <row r="5" spans="1:7" x14ac:dyDescent="0.25">
      <c r="A5" s="27">
        <v>1</v>
      </c>
      <c r="B5" s="11" t="s">
        <v>83</v>
      </c>
      <c r="C5" s="14">
        <v>0.1173611111111111</v>
      </c>
      <c r="D5" s="11" t="s">
        <v>93</v>
      </c>
      <c r="E5" s="11" t="s">
        <v>94</v>
      </c>
      <c r="F5" s="11" t="s">
        <v>105</v>
      </c>
      <c r="G5" s="11" t="s">
        <v>112</v>
      </c>
    </row>
    <row r="6" spans="1:7" x14ac:dyDescent="0.25">
      <c r="A6" s="27">
        <v>2</v>
      </c>
      <c r="B6" s="11" t="s">
        <v>84</v>
      </c>
      <c r="C6" s="14">
        <v>0.10277777777777779</v>
      </c>
      <c r="D6" s="11" t="s">
        <v>93</v>
      </c>
      <c r="E6" s="11" t="s">
        <v>94</v>
      </c>
      <c r="F6" s="11" t="s">
        <v>229</v>
      </c>
      <c r="G6" s="11" t="s">
        <v>112</v>
      </c>
    </row>
    <row r="7" spans="1:7" x14ac:dyDescent="0.25">
      <c r="A7" s="27">
        <v>3</v>
      </c>
      <c r="B7" s="11" t="s">
        <v>85</v>
      </c>
      <c r="C7" s="14">
        <v>0.10416666666666667</v>
      </c>
      <c r="D7" s="11" t="s">
        <v>93</v>
      </c>
      <c r="E7" s="11" t="s">
        <v>94</v>
      </c>
      <c r="F7" s="11" t="s">
        <v>106</v>
      </c>
      <c r="G7" s="11" t="s">
        <v>112</v>
      </c>
    </row>
    <row r="8" spans="1:7" x14ac:dyDescent="0.25">
      <c r="A8" s="27">
        <v>4</v>
      </c>
      <c r="B8" s="11" t="s">
        <v>86</v>
      </c>
      <c r="C8" s="14">
        <v>7.013888888888889E-2</v>
      </c>
      <c r="D8" s="11" t="s">
        <v>95</v>
      </c>
      <c r="E8" s="11" t="s">
        <v>96</v>
      </c>
      <c r="F8" s="11" t="s">
        <v>107</v>
      </c>
      <c r="G8" s="19" t="s">
        <v>113</v>
      </c>
    </row>
    <row r="9" spans="1:7" x14ac:dyDescent="0.25">
      <c r="A9" s="27">
        <v>5</v>
      </c>
      <c r="B9" s="11" t="s">
        <v>87</v>
      </c>
      <c r="C9" s="14">
        <v>8.2638888888888887E-2</v>
      </c>
      <c r="D9" s="11" t="s">
        <v>97</v>
      </c>
      <c r="E9" s="11" t="s">
        <v>98</v>
      </c>
      <c r="F9" s="11" t="s">
        <v>227</v>
      </c>
      <c r="G9" s="19" t="s">
        <v>114</v>
      </c>
    </row>
    <row r="10" spans="1:7" x14ac:dyDescent="0.25">
      <c r="A10" s="27">
        <v>6</v>
      </c>
      <c r="B10" s="11" t="s">
        <v>88</v>
      </c>
      <c r="C10" s="14">
        <v>9.4444444444444442E-2</v>
      </c>
      <c r="D10" s="11" t="s">
        <v>97</v>
      </c>
      <c r="E10" s="11" t="s">
        <v>98</v>
      </c>
      <c r="F10" s="11" t="s">
        <v>108</v>
      </c>
      <c r="G10" s="19" t="s">
        <v>113</v>
      </c>
    </row>
    <row r="11" spans="1:7" x14ac:dyDescent="0.25">
      <c r="A11" s="27">
        <v>7</v>
      </c>
      <c r="B11" s="11" t="s">
        <v>89</v>
      </c>
      <c r="C11" s="14">
        <v>0.1013888888888889</v>
      </c>
      <c r="D11" s="11" t="s">
        <v>99</v>
      </c>
      <c r="E11" s="11" t="s">
        <v>100</v>
      </c>
      <c r="F11" s="11" t="s">
        <v>109</v>
      </c>
      <c r="G11" s="19" t="s">
        <v>115</v>
      </c>
    </row>
    <row r="12" spans="1:7" x14ac:dyDescent="0.25">
      <c r="A12" s="27">
        <v>8</v>
      </c>
      <c r="B12" s="11" t="s">
        <v>90</v>
      </c>
      <c r="C12" s="14">
        <v>0.12361111111111112</v>
      </c>
      <c r="D12" s="11" t="s">
        <v>99</v>
      </c>
      <c r="E12" s="11" t="s">
        <v>100</v>
      </c>
      <c r="F12" s="11" t="s">
        <v>228</v>
      </c>
      <c r="G12" s="19" t="s">
        <v>115</v>
      </c>
    </row>
    <row r="13" spans="1:7" x14ac:dyDescent="0.25">
      <c r="A13" s="27">
        <v>9</v>
      </c>
      <c r="B13" s="11" t="s">
        <v>91</v>
      </c>
      <c r="C13" s="14">
        <v>9.7916666666666666E-2</v>
      </c>
      <c r="D13" s="11" t="s">
        <v>101</v>
      </c>
      <c r="E13" s="11" t="s">
        <v>102</v>
      </c>
      <c r="F13" s="11" t="s">
        <v>110</v>
      </c>
      <c r="G13" s="19" t="s">
        <v>112</v>
      </c>
    </row>
    <row r="14" spans="1:7" x14ac:dyDescent="0.25">
      <c r="A14" s="27">
        <v>10</v>
      </c>
      <c r="B14" s="11" t="s">
        <v>92</v>
      </c>
      <c r="C14" s="14">
        <v>8.2638888888888887E-2</v>
      </c>
      <c r="D14" s="11" t="s">
        <v>103</v>
      </c>
      <c r="E14" s="11" t="s">
        <v>104</v>
      </c>
      <c r="F14" s="11" t="s">
        <v>111</v>
      </c>
      <c r="G14" s="19" t="s">
        <v>112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C13" sqref="C13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7" t="s">
        <v>191</v>
      </c>
      <c r="B1" s="38"/>
      <c r="C1" s="38"/>
      <c r="D1" s="38"/>
      <c r="E1" s="38"/>
      <c r="F1" s="39"/>
    </row>
    <row r="2" spans="1:6" x14ac:dyDescent="0.25">
      <c r="A2" s="40"/>
      <c r="B2" s="41"/>
      <c r="C2" s="41"/>
      <c r="D2" s="41"/>
      <c r="E2" s="41"/>
      <c r="F2" s="42"/>
    </row>
    <row r="3" spans="1:6" x14ac:dyDescent="0.25">
      <c r="A3" s="43"/>
      <c r="B3" s="44"/>
      <c r="C3" s="44"/>
      <c r="D3" s="44"/>
      <c r="E3" s="44"/>
      <c r="F3" s="45"/>
    </row>
    <row r="4" spans="1:6" x14ac:dyDescent="0.25">
      <c r="A4" s="16" t="s">
        <v>75</v>
      </c>
      <c r="B4" s="3" t="s">
        <v>76</v>
      </c>
      <c r="C4" s="3" t="s">
        <v>188</v>
      </c>
      <c r="D4" s="3" t="s">
        <v>189</v>
      </c>
      <c r="E4" s="3" t="s">
        <v>3</v>
      </c>
      <c r="F4" s="17" t="s">
        <v>190</v>
      </c>
    </row>
    <row r="5" spans="1:6" x14ac:dyDescent="0.25">
      <c r="A5" s="18">
        <v>1</v>
      </c>
      <c r="B5" s="18" t="s">
        <v>192</v>
      </c>
      <c r="C5" s="18" t="s">
        <v>193</v>
      </c>
      <c r="D5" s="18">
        <v>52</v>
      </c>
      <c r="E5" s="18" t="s">
        <v>38</v>
      </c>
      <c r="F5" s="18" t="s">
        <v>246</v>
      </c>
    </row>
    <row r="6" spans="1:6" x14ac:dyDescent="0.25">
      <c r="A6" s="18">
        <v>2</v>
      </c>
      <c r="B6" s="18" t="s">
        <v>194</v>
      </c>
      <c r="C6" s="18" t="s">
        <v>195</v>
      </c>
      <c r="D6" s="18">
        <v>47</v>
      </c>
      <c r="E6" s="18" t="s">
        <v>38</v>
      </c>
      <c r="F6" s="18" t="s">
        <v>246</v>
      </c>
    </row>
    <row r="7" spans="1:6" x14ac:dyDescent="0.25">
      <c r="A7" s="18">
        <v>3</v>
      </c>
      <c r="B7" s="18" t="s">
        <v>196</v>
      </c>
      <c r="C7" s="18" t="s">
        <v>197</v>
      </c>
      <c r="D7" s="18">
        <v>59</v>
      </c>
      <c r="E7" s="18" t="s">
        <v>38</v>
      </c>
      <c r="F7" s="18" t="s">
        <v>246</v>
      </c>
    </row>
    <row r="8" spans="1:6" x14ac:dyDescent="0.25">
      <c r="A8" s="18">
        <v>4</v>
      </c>
      <c r="B8" s="18" t="s">
        <v>198</v>
      </c>
      <c r="C8" s="18" t="s">
        <v>199</v>
      </c>
      <c r="D8" s="18">
        <v>38</v>
      </c>
      <c r="E8" s="18" t="s">
        <v>38</v>
      </c>
      <c r="F8" s="18" t="s">
        <v>246</v>
      </c>
    </row>
    <row r="9" spans="1:6" x14ac:dyDescent="0.25">
      <c r="A9" s="18">
        <v>5</v>
      </c>
      <c r="B9" s="18" t="s">
        <v>200</v>
      </c>
      <c r="C9" s="18" t="s">
        <v>201</v>
      </c>
      <c r="D9" s="18">
        <v>85</v>
      </c>
      <c r="E9" s="18" t="s">
        <v>38</v>
      </c>
      <c r="F9" s="18" t="s">
        <v>246</v>
      </c>
    </row>
    <row r="10" spans="1:6" x14ac:dyDescent="0.25">
      <c r="A10" s="18">
        <v>6</v>
      </c>
      <c r="B10" s="18" t="s">
        <v>202</v>
      </c>
      <c r="C10" s="18" t="s">
        <v>203</v>
      </c>
      <c r="D10" s="18">
        <v>48</v>
      </c>
      <c r="E10" s="18" t="s">
        <v>38</v>
      </c>
      <c r="F10" s="18" t="s">
        <v>246</v>
      </c>
    </row>
    <row r="11" spans="1:6" x14ac:dyDescent="0.25">
      <c r="A11" s="18">
        <v>7</v>
      </c>
      <c r="B11" s="18" t="s">
        <v>204</v>
      </c>
      <c r="C11" s="18" t="s">
        <v>205</v>
      </c>
      <c r="D11" s="18">
        <v>88</v>
      </c>
      <c r="E11" s="18" t="s">
        <v>38</v>
      </c>
      <c r="F11" s="18" t="s">
        <v>246</v>
      </c>
    </row>
    <row r="12" spans="1:6" x14ac:dyDescent="0.25">
      <c r="A12" s="18">
        <v>8</v>
      </c>
      <c r="B12" s="18" t="s">
        <v>24</v>
      </c>
      <c r="C12" s="18" t="s">
        <v>206</v>
      </c>
      <c r="D12" s="18">
        <v>79</v>
      </c>
      <c r="E12" s="18" t="s">
        <v>38</v>
      </c>
      <c r="F12" s="18" t="s">
        <v>246</v>
      </c>
    </row>
    <row r="13" spans="1:6" x14ac:dyDescent="0.25">
      <c r="A13" s="18">
        <v>9</v>
      </c>
      <c r="B13" s="18" t="s">
        <v>207</v>
      </c>
      <c r="C13" s="18" t="s">
        <v>208</v>
      </c>
      <c r="D13" s="18">
        <v>79</v>
      </c>
      <c r="E13" s="18" t="s">
        <v>38</v>
      </c>
      <c r="F13" s="18" t="s">
        <v>246</v>
      </c>
    </row>
    <row r="14" spans="1:6" x14ac:dyDescent="0.25">
      <c r="A14" s="18">
        <v>10</v>
      </c>
      <c r="B14" s="18" t="s">
        <v>209</v>
      </c>
      <c r="C14" s="18" t="s">
        <v>210</v>
      </c>
      <c r="D14" s="18">
        <v>51</v>
      </c>
      <c r="E14" s="18" t="s">
        <v>38</v>
      </c>
      <c r="F14" s="18" t="s">
        <v>246</v>
      </c>
    </row>
    <row r="15" spans="1:6" x14ac:dyDescent="0.25">
      <c r="A15" s="18">
        <v>11</v>
      </c>
      <c r="B15" s="18" t="s">
        <v>211</v>
      </c>
      <c r="C15" s="18" t="s">
        <v>212</v>
      </c>
      <c r="D15" s="18">
        <v>59</v>
      </c>
      <c r="E15" s="18" t="s">
        <v>38</v>
      </c>
      <c r="F15" s="18" t="s">
        <v>246</v>
      </c>
    </row>
    <row r="16" spans="1:6" x14ac:dyDescent="0.25">
      <c r="A16" s="18">
        <v>12</v>
      </c>
      <c r="B16" s="18" t="s">
        <v>213</v>
      </c>
      <c r="C16" s="18" t="s">
        <v>214</v>
      </c>
      <c r="D16" s="18">
        <v>66</v>
      </c>
      <c r="E16" s="18" t="s">
        <v>38</v>
      </c>
      <c r="F16" s="18" t="s">
        <v>246</v>
      </c>
    </row>
    <row r="17" spans="1:6" x14ac:dyDescent="0.25">
      <c r="A17" s="18">
        <v>13</v>
      </c>
      <c r="B17" s="18" t="s">
        <v>215</v>
      </c>
      <c r="C17" s="18" t="s">
        <v>216</v>
      </c>
      <c r="D17" s="18">
        <v>51</v>
      </c>
      <c r="E17" s="18" t="s">
        <v>38</v>
      </c>
      <c r="F17" s="18" t="s">
        <v>246</v>
      </c>
    </row>
    <row r="18" spans="1:6" x14ac:dyDescent="0.25">
      <c r="A18" s="18">
        <v>14</v>
      </c>
      <c r="B18" s="18" t="s">
        <v>217</v>
      </c>
      <c r="C18" s="18" t="s">
        <v>218</v>
      </c>
      <c r="D18" s="18">
        <v>61</v>
      </c>
      <c r="E18" s="18" t="s">
        <v>38</v>
      </c>
      <c r="F18" s="18" t="s">
        <v>246</v>
      </c>
    </row>
    <row r="19" spans="1:6" x14ac:dyDescent="0.25">
      <c r="A19" s="18">
        <v>15</v>
      </c>
      <c r="B19" s="18" t="s">
        <v>219</v>
      </c>
      <c r="C19" s="18" t="s">
        <v>220</v>
      </c>
      <c r="D19" s="18">
        <v>60</v>
      </c>
      <c r="E19" s="18" t="s">
        <v>38</v>
      </c>
      <c r="F19" s="18" t="s">
        <v>246</v>
      </c>
    </row>
    <row r="20" spans="1:6" x14ac:dyDescent="0.25">
      <c r="A20" s="18">
        <v>16</v>
      </c>
      <c r="B20" s="18" t="s">
        <v>221</v>
      </c>
      <c r="C20" s="18" t="s">
        <v>222</v>
      </c>
      <c r="D20" s="18">
        <v>50</v>
      </c>
      <c r="E20" s="18" t="s">
        <v>38</v>
      </c>
      <c r="F20" s="18" t="s">
        <v>246</v>
      </c>
    </row>
    <row r="21" spans="1:6" x14ac:dyDescent="0.25">
      <c r="A21" s="18">
        <v>17</v>
      </c>
      <c r="B21" s="18" t="s">
        <v>223</v>
      </c>
      <c r="C21" s="18" t="s">
        <v>224</v>
      </c>
      <c r="D21" s="18">
        <v>61</v>
      </c>
      <c r="E21" s="18" t="s">
        <v>38</v>
      </c>
      <c r="F21" s="18" t="s">
        <v>246</v>
      </c>
    </row>
    <row r="22" spans="1:6" x14ac:dyDescent="0.25">
      <c r="A22" s="24">
        <v>18</v>
      </c>
      <c r="B22" s="24" t="s">
        <v>233</v>
      </c>
      <c r="C22" s="24" t="s">
        <v>234</v>
      </c>
      <c r="D22" s="24">
        <v>51</v>
      </c>
      <c r="E22" s="24" t="s">
        <v>38</v>
      </c>
      <c r="F22" s="18" t="s">
        <v>246</v>
      </c>
    </row>
    <row r="23" spans="1:6" x14ac:dyDescent="0.25">
      <c r="A23" s="24">
        <v>19</v>
      </c>
      <c r="B23" s="24" t="s">
        <v>235</v>
      </c>
      <c r="C23" s="24" t="s">
        <v>236</v>
      </c>
      <c r="D23" s="24">
        <v>35</v>
      </c>
      <c r="E23" s="24" t="s">
        <v>38</v>
      </c>
      <c r="F23" s="24" t="s">
        <v>237</v>
      </c>
    </row>
    <row r="24" spans="1:6" x14ac:dyDescent="0.25">
      <c r="A24" s="24">
        <v>20</v>
      </c>
      <c r="B24" s="24" t="s">
        <v>238</v>
      </c>
      <c r="C24" s="24" t="s">
        <v>239</v>
      </c>
      <c r="D24" s="24">
        <v>42</v>
      </c>
      <c r="E24" s="24" t="s">
        <v>38</v>
      </c>
      <c r="F24" s="18" t="s">
        <v>246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A11" sqref="A11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8" t="s">
        <v>116</v>
      </c>
      <c r="B1" s="29"/>
      <c r="C1" s="29"/>
      <c r="D1" s="29"/>
      <c r="E1" s="29"/>
      <c r="F1" s="30"/>
    </row>
    <row r="2" spans="1:6" ht="15" customHeight="1" x14ac:dyDescent="0.25">
      <c r="A2" s="31"/>
      <c r="B2" s="32"/>
      <c r="C2" s="32"/>
      <c r="D2" s="32"/>
      <c r="E2" s="32"/>
      <c r="F2" s="33"/>
    </row>
    <row r="3" spans="1:6" x14ac:dyDescent="0.25">
      <c r="A3" s="34"/>
      <c r="B3" s="35"/>
      <c r="C3" s="35"/>
      <c r="D3" s="35"/>
      <c r="E3" s="35"/>
      <c r="F3" s="36"/>
    </row>
    <row r="4" spans="1:6" x14ac:dyDescent="0.25">
      <c r="A4" s="12" t="s">
        <v>75</v>
      </c>
      <c r="B4" s="2" t="s">
        <v>76</v>
      </c>
      <c r="C4" s="2" t="s">
        <v>79</v>
      </c>
      <c r="D4" s="2" t="s">
        <v>80</v>
      </c>
      <c r="E4" s="2" t="s">
        <v>81</v>
      </c>
      <c r="F4" s="13" t="s">
        <v>82</v>
      </c>
    </row>
    <row r="5" spans="1:6" x14ac:dyDescent="0.25">
      <c r="A5" s="11">
        <v>1</v>
      </c>
      <c r="B5" s="11" t="s">
        <v>117</v>
      </c>
      <c r="C5" s="11" t="s">
        <v>127</v>
      </c>
      <c r="D5" s="11" t="s">
        <v>128</v>
      </c>
      <c r="E5" s="11" t="s">
        <v>129</v>
      </c>
      <c r="F5" s="11" t="s">
        <v>113</v>
      </c>
    </row>
    <row r="6" spans="1:6" x14ac:dyDescent="0.25">
      <c r="A6" s="11">
        <v>2</v>
      </c>
      <c r="B6" s="11" t="s">
        <v>118</v>
      </c>
      <c r="C6" s="11" t="s">
        <v>130</v>
      </c>
      <c r="D6" s="11" t="s">
        <v>131</v>
      </c>
      <c r="E6" s="11" t="s">
        <v>132</v>
      </c>
      <c r="F6" s="11" t="s">
        <v>133</v>
      </c>
    </row>
    <row r="7" spans="1:6" x14ac:dyDescent="0.25">
      <c r="A7" s="11">
        <v>3</v>
      </c>
      <c r="B7" s="11" t="s">
        <v>119</v>
      </c>
      <c r="C7" s="11" t="s">
        <v>134</v>
      </c>
      <c r="D7" s="11" t="s">
        <v>135</v>
      </c>
      <c r="E7" s="11" t="s">
        <v>136</v>
      </c>
      <c r="F7" s="11" t="s">
        <v>137</v>
      </c>
    </row>
    <row r="8" spans="1:6" x14ac:dyDescent="0.25">
      <c r="A8" s="11">
        <v>4</v>
      </c>
      <c r="B8" s="11" t="s">
        <v>120</v>
      </c>
      <c r="C8" s="11" t="s">
        <v>138</v>
      </c>
      <c r="D8" s="11" t="s">
        <v>139</v>
      </c>
      <c r="E8" s="11" t="s">
        <v>140</v>
      </c>
      <c r="F8" s="19" t="s">
        <v>141</v>
      </c>
    </row>
    <row r="9" spans="1:6" x14ac:dyDescent="0.25">
      <c r="A9" s="11">
        <v>5</v>
      </c>
      <c r="B9" s="11" t="s">
        <v>121</v>
      </c>
      <c r="C9" s="11" t="s">
        <v>138</v>
      </c>
      <c r="D9" s="11" t="s">
        <v>142</v>
      </c>
      <c r="E9" s="11" t="s">
        <v>143</v>
      </c>
      <c r="F9" s="19" t="s">
        <v>113</v>
      </c>
    </row>
    <row r="10" spans="1:6" x14ac:dyDescent="0.25">
      <c r="A10" s="11">
        <v>6</v>
      </c>
      <c r="B10" s="11" t="s">
        <v>122</v>
      </c>
      <c r="C10" s="11" t="s">
        <v>138</v>
      </c>
      <c r="D10" s="11" t="s">
        <v>144</v>
      </c>
      <c r="E10" s="11" t="s">
        <v>145</v>
      </c>
      <c r="F10" s="19" t="s">
        <v>146</v>
      </c>
    </row>
    <row r="11" spans="1:6" x14ac:dyDescent="0.25">
      <c r="A11" s="11">
        <v>7</v>
      </c>
      <c r="B11" s="11" t="s">
        <v>123</v>
      </c>
      <c r="C11" s="11" t="s">
        <v>147</v>
      </c>
      <c r="D11" s="11" t="s">
        <v>148</v>
      </c>
      <c r="E11" s="11" t="s">
        <v>149</v>
      </c>
      <c r="F11" s="19" t="s">
        <v>112</v>
      </c>
    </row>
    <row r="12" spans="1:6" x14ac:dyDescent="0.25">
      <c r="A12" s="11">
        <v>8</v>
      </c>
      <c r="B12" s="11" t="s">
        <v>124</v>
      </c>
      <c r="C12" s="11" t="s">
        <v>150</v>
      </c>
      <c r="D12" s="11" t="s">
        <v>151</v>
      </c>
      <c r="E12" s="11" t="s">
        <v>152</v>
      </c>
      <c r="F12" s="19" t="s">
        <v>153</v>
      </c>
    </row>
    <row r="13" spans="1:6" x14ac:dyDescent="0.25">
      <c r="A13" s="11">
        <v>9</v>
      </c>
      <c r="B13" s="11" t="s">
        <v>125</v>
      </c>
      <c r="C13" s="11" t="s">
        <v>154</v>
      </c>
      <c r="D13" s="11" t="s">
        <v>155</v>
      </c>
      <c r="E13" s="11" t="s">
        <v>156</v>
      </c>
      <c r="F13" s="19" t="s">
        <v>141</v>
      </c>
    </row>
    <row r="14" spans="1:6" x14ac:dyDescent="0.25">
      <c r="A14" s="11">
        <v>10</v>
      </c>
      <c r="B14" s="11" t="s">
        <v>126</v>
      </c>
      <c r="C14" s="11" t="s">
        <v>127</v>
      </c>
      <c r="D14" s="11" t="s">
        <v>128</v>
      </c>
      <c r="E14" s="11" t="s">
        <v>157</v>
      </c>
      <c r="F14" s="19" t="s">
        <v>113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activeCell="B56" sqref="B56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7" t="s">
        <v>159</v>
      </c>
      <c r="B1" s="46"/>
      <c r="C1" s="47"/>
    </row>
    <row r="2" spans="1:3" x14ac:dyDescent="0.25">
      <c r="A2" s="48"/>
      <c r="B2" s="49"/>
      <c r="C2" s="50"/>
    </row>
    <row r="3" spans="1:3" x14ac:dyDescent="0.25">
      <c r="A3" s="48"/>
      <c r="B3" s="49"/>
      <c r="C3" s="50"/>
    </row>
    <row r="4" spans="1:3" x14ac:dyDescent="0.25">
      <c r="A4" s="16" t="s">
        <v>75</v>
      </c>
      <c r="B4" s="3" t="s">
        <v>76</v>
      </c>
      <c r="C4" s="17" t="s">
        <v>158</v>
      </c>
    </row>
    <row r="5" spans="1:3" x14ac:dyDescent="0.25">
      <c r="A5" s="11">
        <v>1</v>
      </c>
      <c r="B5" s="11" t="s">
        <v>160</v>
      </c>
      <c r="C5" s="11" t="s">
        <v>240</v>
      </c>
    </row>
    <row r="6" spans="1:3" x14ac:dyDescent="0.25">
      <c r="A6" s="11">
        <v>2</v>
      </c>
      <c r="B6" s="11" t="s">
        <v>161</v>
      </c>
      <c r="C6" s="11" t="s">
        <v>241</v>
      </c>
    </row>
    <row r="7" spans="1:3" x14ac:dyDescent="0.25">
      <c r="A7" s="11">
        <v>3</v>
      </c>
      <c r="B7" s="11" t="s">
        <v>225</v>
      </c>
      <c r="C7" s="11" t="s">
        <v>242</v>
      </c>
    </row>
    <row r="8" spans="1:3" x14ac:dyDescent="0.25">
      <c r="A8" s="11">
        <v>4</v>
      </c>
      <c r="B8" s="11" t="s">
        <v>162</v>
      </c>
      <c r="C8" s="11" t="s">
        <v>243</v>
      </c>
    </row>
    <row r="9" spans="1:3" x14ac:dyDescent="0.25">
      <c r="A9" s="11">
        <v>5</v>
      </c>
      <c r="B9" s="11" t="s">
        <v>163</v>
      </c>
      <c r="C9" s="11" t="s">
        <v>244</v>
      </c>
    </row>
    <row r="10" spans="1:3" x14ac:dyDescent="0.25">
      <c r="A10" s="11">
        <v>6</v>
      </c>
      <c r="B10" s="11" t="s">
        <v>226</v>
      </c>
      <c r="C10" s="11" t="s">
        <v>245</v>
      </c>
    </row>
    <row r="11" spans="1:3" x14ac:dyDescent="0.25">
      <c r="A11" s="11">
        <v>7</v>
      </c>
      <c r="B11" s="11" t="s">
        <v>164</v>
      </c>
      <c r="C11" s="11" t="s">
        <v>241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tabSelected="1" workbookViewId="0">
      <selection activeCell="U11" sqref="U11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7" t="s">
        <v>165</v>
      </c>
      <c r="B1" s="38"/>
      <c r="C1" s="38"/>
      <c r="D1" s="38"/>
      <c r="E1" s="39"/>
    </row>
    <row r="2" spans="1:5" x14ac:dyDescent="0.25">
      <c r="A2" s="40"/>
      <c r="B2" s="41"/>
      <c r="C2" s="41"/>
      <c r="D2" s="41"/>
      <c r="E2" s="42"/>
    </row>
    <row r="3" spans="1:5" x14ac:dyDescent="0.25">
      <c r="A3" s="40"/>
      <c r="B3" s="41"/>
      <c r="C3" s="41"/>
      <c r="D3" s="41"/>
      <c r="E3" s="42"/>
    </row>
    <row r="4" spans="1:5" x14ac:dyDescent="0.25">
      <c r="A4" s="16" t="s">
        <v>75</v>
      </c>
      <c r="B4" s="3" t="s">
        <v>166</v>
      </c>
      <c r="C4" s="3" t="s">
        <v>167</v>
      </c>
      <c r="D4" s="3" t="s">
        <v>168</v>
      </c>
      <c r="E4" s="17" t="s">
        <v>169</v>
      </c>
    </row>
    <row r="5" spans="1:5" x14ac:dyDescent="0.25">
      <c r="A5" s="11">
        <v>1</v>
      </c>
      <c r="B5" s="11">
        <v>7</v>
      </c>
      <c r="C5" s="11">
        <v>14</v>
      </c>
      <c r="D5" s="15" cm="1">
        <f t="array" ref="D5">{44504.6922572441}</f>
        <v>44504.692257244104</v>
      </c>
      <c r="E5" s="18" t="s">
        <v>170</v>
      </c>
    </row>
    <row r="6" spans="1:5" x14ac:dyDescent="0.25">
      <c r="A6" s="11">
        <v>2</v>
      </c>
      <c r="B6" s="11">
        <v>3</v>
      </c>
      <c r="C6" s="11">
        <v>2</v>
      </c>
      <c r="D6" s="15" cm="1">
        <f t="array" ref="D6">{44578.6141578433}</f>
        <v>44578.614157843302</v>
      </c>
      <c r="E6" s="18" t="s">
        <v>171</v>
      </c>
    </row>
    <row r="7" spans="1:5" x14ac:dyDescent="0.25">
      <c r="A7" s="11">
        <v>3</v>
      </c>
      <c r="B7" s="11">
        <v>1</v>
      </c>
      <c r="C7" s="11">
        <v>1</v>
      </c>
      <c r="D7" s="15" cm="1">
        <f t="array" ref="D7">{44276.0945307909}</f>
        <v>44276.094530790899</v>
      </c>
      <c r="E7" s="18" t="s">
        <v>172</v>
      </c>
    </row>
    <row r="8" spans="1:5" x14ac:dyDescent="0.25">
      <c r="A8" s="11">
        <v>4</v>
      </c>
      <c r="B8" s="11">
        <v>4</v>
      </c>
      <c r="C8" s="11">
        <v>2</v>
      </c>
      <c r="D8" s="15" cm="1">
        <f t="array" ref="D8">{44740.949943045}</f>
        <v>44740.949943045001</v>
      </c>
      <c r="E8" s="18" t="s">
        <v>170</v>
      </c>
    </row>
    <row r="9" spans="1:5" x14ac:dyDescent="0.25">
      <c r="A9" s="11">
        <v>5</v>
      </c>
      <c r="B9" s="11">
        <v>2</v>
      </c>
      <c r="C9" s="11">
        <v>1</v>
      </c>
      <c r="D9" s="15" cm="1">
        <f t="array" ref="D9">{44730.4512404295}</f>
        <v>44730.451240429502</v>
      </c>
      <c r="E9" s="18" t="s">
        <v>171</v>
      </c>
    </row>
    <row r="10" spans="1:5" x14ac:dyDescent="0.25">
      <c r="A10" s="11">
        <v>6</v>
      </c>
      <c r="B10" s="11">
        <v>5</v>
      </c>
      <c r="C10" s="11">
        <v>8</v>
      </c>
      <c r="D10" s="15" cm="1">
        <f t="array" ref="D10">{43903.0676173677}</f>
        <v>43903.067617367698</v>
      </c>
      <c r="E10" s="18" t="s">
        <v>173</v>
      </c>
    </row>
    <row r="11" spans="1:5" x14ac:dyDescent="0.25">
      <c r="A11" s="11">
        <v>7</v>
      </c>
      <c r="B11" s="11">
        <v>6</v>
      </c>
      <c r="C11" s="11">
        <v>6</v>
      </c>
      <c r="D11" s="15" cm="1">
        <f t="array" ref="D11">{44354.9363305282}</f>
        <v>44354.936330528202</v>
      </c>
      <c r="E11" s="18" t="s">
        <v>171</v>
      </c>
    </row>
    <row r="12" spans="1:5" x14ac:dyDescent="0.25">
      <c r="A12" s="11">
        <v>8</v>
      </c>
      <c r="B12" s="11">
        <v>2</v>
      </c>
      <c r="C12" s="11">
        <v>9</v>
      </c>
      <c r="D12" s="15" cm="1">
        <f t="array" ref="D12">{43991.2250068906}</f>
        <v>43991.2250068906</v>
      </c>
      <c r="E12" s="18" t="s">
        <v>170</v>
      </c>
    </row>
    <row r="13" spans="1:5" x14ac:dyDescent="0.25">
      <c r="A13" s="11">
        <v>9</v>
      </c>
      <c r="B13" s="11">
        <v>7</v>
      </c>
      <c r="C13" s="11">
        <v>7</v>
      </c>
      <c r="D13" s="15" cm="1">
        <f t="array" ref="D13">{44604.2175464902}</f>
        <v>44604.217546490203</v>
      </c>
      <c r="E13" s="18" t="s">
        <v>173</v>
      </c>
    </row>
    <row r="14" spans="1:5" x14ac:dyDescent="0.25">
      <c r="A14" s="11">
        <v>10</v>
      </c>
      <c r="B14" s="11">
        <v>1</v>
      </c>
      <c r="C14" s="11">
        <v>10</v>
      </c>
      <c r="D14" s="15" cm="1">
        <f t="array" ref="D14">{44607.23314146}</f>
        <v>44607.233141459998</v>
      </c>
      <c r="E14" s="18" t="s">
        <v>171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activeCell="G6" sqref="G6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8" t="s">
        <v>180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x14ac:dyDescent="0.25">
      <c r="A3" s="34"/>
      <c r="B3" s="35"/>
      <c r="C3" s="35"/>
      <c r="D3" s="35"/>
      <c r="E3" s="35"/>
      <c r="F3" s="35"/>
      <c r="G3" s="35"/>
      <c r="H3" s="35"/>
      <c r="I3" s="36"/>
    </row>
    <row r="4" spans="1:9" x14ac:dyDescent="0.25">
      <c r="A4" s="12" t="s">
        <v>75</v>
      </c>
      <c r="B4" s="2" t="s">
        <v>174</v>
      </c>
      <c r="C4" s="2" t="s">
        <v>167</v>
      </c>
      <c r="D4" s="2" t="s">
        <v>78</v>
      </c>
      <c r="E4" s="2" t="s">
        <v>175</v>
      </c>
      <c r="F4" s="2" t="s">
        <v>176</v>
      </c>
      <c r="G4" s="2" t="s">
        <v>177</v>
      </c>
      <c r="H4" s="2" t="s">
        <v>178</v>
      </c>
      <c r="I4" s="13" t="s">
        <v>179</v>
      </c>
    </row>
    <row r="5" spans="1:9" x14ac:dyDescent="0.25">
      <c r="A5" s="11">
        <v>1</v>
      </c>
      <c r="B5" s="11">
        <v>5</v>
      </c>
      <c r="C5" s="11">
        <v>1</v>
      </c>
      <c r="D5" s="14" cm="1">
        <f t="array" ref="D5">{0.0265855429451455}</f>
        <v>2.65855429451455E-2</v>
      </c>
      <c r="E5" s="15" cm="1">
        <f t="array" ref="E5">{44340.6726605777}</f>
        <v>44340.6726605777</v>
      </c>
      <c r="F5" s="11" t="s">
        <v>181</v>
      </c>
      <c r="G5" s="11">
        <v>50</v>
      </c>
      <c r="H5" s="11">
        <v>5</v>
      </c>
      <c r="I5" s="11">
        <v>8</v>
      </c>
    </row>
    <row r="6" spans="1:9" x14ac:dyDescent="0.25">
      <c r="A6" s="11">
        <v>2</v>
      </c>
      <c r="B6" s="11">
        <v>9</v>
      </c>
      <c r="C6" s="11">
        <v>7</v>
      </c>
      <c r="D6" s="14" cm="1">
        <f t="array" ref="D6">{0.0192888546936023}</f>
        <v>1.9288854693602302E-2</v>
      </c>
      <c r="E6" s="15" cm="1">
        <f t="array" ref="E6">{44455.6113251291}</f>
        <v>44455.611325129103</v>
      </c>
      <c r="F6" s="11" t="s">
        <v>182</v>
      </c>
      <c r="G6" s="11">
        <v>2</v>
      </c>
      <c r="H6" s="11">
        <v>5</v>
      </c>
      <c r="I6" s="11">
        <v>7</v>
      </c>
    </row>
    <row r="7" spans="1:9" x14ac:dyDescent="0.25">
      <c r="A7" s="11">
        <v>3</v>
      </c>
      <c r="B7" s="11">
        <v>5</v>
      </c>
      <c r="C7" s="11">
        <v>10</v>
      </c>
      <c r="D7" s="14" cm="1">
        <f t="array" ref="D7">{0.0133247666470896}</f>
        <v>1.3324766647089601E-2</v>
      </c>
      <c r="E7" s="15" cm="1">
        <f t="array" ref="E7">{44476.5582699075}</f>
        <v>44476.558269907502</v>
      </c>
      <c r="F7" s="11" t="s">
        <v>183</v>
      </c>
      <c r="G7" s="11">
        <v>85</v>
      </c>
      <c r="H7" s="11">
        <v>3</v>
      </c>
      <c r="I7" s="11">
        <v>7</v>
      </c>
    </row>
    <row r="8" spans="1:9" x14ac:dyDescent="0.25">
      <c r="A8" s="11">
        <v>4</v>
      </c>
      <c r="B8" s="11">
        <v>2</v>
      </c>
      <c r="C8" s="11">
        <v>17</v>
      </c>
      <c r="D8" s="14" cm="1">
        <f t="array" ref="D8">{0.0235702705333041}</f>
        <v>2.35702705333041E-2</v>
      </c>
      <c r="E8" s="15" cm="1">
        <f t="array" ref="E8">{44195.3625897855}</f>
        <v>44195.362589785502</v>
      </c>
      <c r="F8" s="11" t="s">
        <v>181</v>
      </c>
      <c r="G8" s="11">
        <v>59</v>
      </c>
      <c r="H8" s="11">
        <v>2</v>
      </c>
      <c r="I8" s="11">
        <v>9</v>
      </c>
    </row>
    <row r="9" spans="1:9" x14ac:dyDescent="0.25">
      <c r="A9" s="11">
        <v>5</v>
      </c>
      <c r="B9" s="11">
        <v>8</v>
      </c>
      <c r="C9" s="11">
        <v>14</v>
      </c>
      <c r="D9" s="14" cm="1">
        <f t="array" ref="D9">{0.0274457190036642}</f>
        <v>2.7445719003664201E-2</v>
      </c>
      <c r="E9" s="15" cm="1">
        <f t="array" ref="E9">{44636.0031452755}</f>
        <v>44636.003145275499</v>
      </c>
      <c r="F9" s="11" t="s">
        <v>183</v>
      </c>
      <c r="G9" s="11">
        <v>8</v>
      </c>
      <c r="H9" s="11">
        <v>5</v>
      </c>
      <c r="I9" s="11">
        <v>9</v>
      </c>
    </row>
    <row r="10" spans="1:9" x14ac:dyDescent="0.25">
      <c r="A10" s="11">
        <v>6</v>
      </c>
      <c r="B10" s="11">
        <v>1</v>
      </c>
      <c r="C10" s="11">
        <v>7</v>
      </c>
      <c r="D10" s="14" cm="1">
        <f t="array" ref="D10">{0.0244027655921729}</f>
        <v>2.4402765592172901E-2</v>
      </c>
      <c r="E10" s="15" cm="1">
        <f t="array" ref="E10">{44251.8888161836}</f>
        <v>44251.8888161836</v>
      </c>
      <c r="F10" s="11" t="s">
        <v>183</v>
      </c>
      <c r="G10" s="11">
        <v>73</v>
      </c>
      <c r="H10" s="11">
        <v>1</v>
      </c>
      <c r="I10" s="11">
        <v>8</v>
      </c>
    </row>
    <row r="11" spans="1:9" x14ac:dyDescent="0.25">
      <c r="A11" s="11">
        <v>7</v>
      </c>
      <c r="B11" s="11">
        <v>5</v>
      </c>
      <c r="C11" s="11">
        <v>17</v>
      </c>
      <c r="D11" s="14" cm="1">
        <f t="array" ref="D11">{0.0114869704139217}</f>
        <v>1.14869704139217E-2</v>
      </c>
      <c r="E11" s="15" cm="1">
        <f t="array" ref="E11">{44015.5542829597}</f>
        <v>44015.554282959703</v>
      </c>
      <c r="F11" s="11" t="s">
        <v>183</v>
      </c>
      <c r="G11" s="11">
        <v>45</v>
      </c>
      <c r="H11" s="11">
        <v>2</v>
      </c>
      <c r="I11" s="11">
        <v>8</v>
      </c>
    </row>
    <row r="12" spans="1:9" x14ac:dyDescent="0.25">
      <c r="A12" s="11">
        <v>8</v>
      </c>
      <c r="B12" s="11">
        <v>1</v>
      </c>
      <c r="C12" s="11">
        <v>17</v>
      </c>
      <c r="D12" s="14" cm="1">
        <f t="array" ref="D12">{0.00986540709616478}</f>
        <v>9.8654070961647806E-3</v>
      </c>
      <c r="E12" s="15" cm="1">
        <f t="array" ref="E12">{44731.4648451612}</f>
        <v>44731.464845161201</v>
      </c>
      <c r="F12" s="11" t="s">
        <v>181</v>
      </c>
      <c r="G12" s="11">
        <v>86</v>
      </c>
      <c r="H12" s="11">
        <v>2</v>
      </c>
      <c r="I12" s="11">
        <v>9</v>
      </c>
    </row>
    <row r="13" spans="1:9" x14ac:dyDescent="0.25">
      <c r="A13" s="11">
        <v>9</v>
      </c>
      <c r="B13" s="11">
        <v>10</v>
      </c>
      <c r="C13" s="11">
        <v>8</v>
      </c>
      <c r="D13" s="14" cm="1">
        <f t="array" ref="D13">{0.0222145576059948}</f>
        <v>2.2214557605994799E-2</v>
      </c>
      <c r="E13" s="15" cm="1">
        <f t="array" ref="E13">{44784.7715404547}</f>
        <v>44784.771540454698</v>
      </c>
      <c r="F13" s="11" t="s">
        <v>181</v>
      </c>
      <c r="G13" s="11">
        <v>44</v>
      </c>
      <c r="H13" s="11">
        <v>2</v>
      </c>
      <c r="I13" s="11">
        <v>4</v>
      </c>
    </row>
    <row r="14" spans="1:9" x14ac:dyDescent="0.25">
      <c r="A14" s="11">
        <v>10</v>
      </c>
      <c r="B14" s="11">
        <v>1</v>
      </c>
      <c r="C14" s="11">
        <v>10</v>
      </c>
      <c r="D14" s="14" cm="1">
        <f t="array" ref="D14">{0.0167626642204056}</f>
        <v>1.67626642204056E-2</v>
      </c>
      <c r="E14" s="15" cm="1">
        <f t="array" ref="E14">{43897.7908365198}</f>
        <v>43897.790836519802</v>
      </c>
      <c r="F14" s="11" t="s">
        <v>183</v>
      </c>
      <c r="G14" s="11">
        <v>61</v>
      </c>
      <c r="H14" s="11">
        <v>2</v>
      </c>
      <c r="I14" s="11">
        <v>5</v>
      </c>
    </row>
    <row r="15" spans="1:9" x14ac:dyDescent="0.25">
      <c r="A15" s="11">
        <v>11</v>
      </c>
      <c r="B15" s="11">
        <v>6</v>
      </c>
      <c r="C15" s="11">
        <v>12</v>
      </c>
      <c r="D15" s="14" cm="1">
        <f t="array" ref="D15">{0.0203889774020786}</f>
        <v>2.0388977402078599E-2</v>
      </c>
      <c r="E15" s="15" cm="1">
        <f t="array" ref="E15">{44570.7077270832}</f>
        <v>44570.707727083201</v>
      </c>
      <c r="F15" s="11" t="s">
        <v>182</v>
      </c>
      <c r="G15" s="11">
        <v>52</v>
      </c>
      <c r="H15" s="11">
        <v>2</v>
      </c>
      <c r="I15" s="11">
        <v>7</v>
      </c>
    </row>
    <row r="16" spans="1:9" x14ac:dyDescent="0.25">
      <c r="A16" s="11">
        <v>12</v>
      </c>
      <c r="B16" s="11">
        <v>7</v>
      </c>
      <c r="C16" s="11">
        <v>5</v>
      </c>
      <c r="D16" s="14" cm="1">
        <f t="array" ref="D16">{0.0108796148865261}</f>
        <v>1.08796148865261E-2</v>
      </c>
      <c r="E16" s="15" cm="1">
        <f t="array" ref="E16">{44255.2776235705}</f>
        <v>44255.277623570502</v>
      </c>
      <c r="F16" s="11" t="s">
        <v>183</v>
      </c>
      <c r="G16" s="11">
        <v>45</v>
      </c>
      <c r="H16" s="11">
        <v>1</v>
      </c>
      <c r="I16" s="11">
        <v>7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activeCell="G11" sqref="G11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8" t="s">
        <v>184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75</v>
      </c>
      <c r="B4" s="2" t="s">
        <v>185</v>
      </c>
      <c r="C4" s="2" t="s">
        <v>167</v>
      </c>
      <c r="D4" s="2" t="s">
        <v>78</v>
      </c>
      <c r="E4" s="2" t="s">
        <v>175</v>
      </c>
      <c r="F4" s="2" t="s">
        <v>176</v>
      </c>
      <c r="G4" s="13" t="s">
        <v>177</v>
      </c>
    </row>
    <row r="5" spans="1:7" x14ac:dyDescent="0.25">
      <c r="A5" s="11">
        <v>1</v>
      </c>
      <c r="B5" s="11">
        <v>6</v>
      </c>
      <c r="C5" s="11">
        <v>8</v>
      </c>
      <c r="D5" s="14" cm="1">
        <f t="array" ref="D5">{0.243697573661478}</f>
        <v>0.24369757366147801</v>
      </c>
      <c r="E5" s="15" cm="1">
        <f t="array" ref="E5">{44179.0647928358}</f>
        <v>44179.064792835801</v>
      </c>
      <c r="F5" s="11" t="s">
        <v>181</v>
      </c>
      <c r="G5" s="11">
        <v>48</v>
      </c>
    </row>
    <row r="6" spans="1:7" x14ac:dyDescent="0.25">
      <c r="A6" s="11">
        <v>2</v>
      </c>
      <c r="B6" s="11">
        <v>7</v>
      </c>
      <c r="C6" s="11">
        <v>2</v>
      </c>
      <c r="D6" s="14" cm="1">
        <f t="array" ref="D6">{0.268536252719625}</f>
        <v>0.268536252719625</v>
      </c>
      <c r="E6" s="15" cm="1">
        <f t="array" ref="E6">{44615.7142066715}</f>
        <v>44615.714206671502</v>
      </c>
      <c r="F6" s="11" t="s">
        <v>182</v>
      </c>
      <c r="G6" s="11">
        <v>51</v>
      </c>
    </row>
    <row r="7" spans="1:7" x14ac:dyDescent="0.25">
      <c r="A7" s="11">
        <v>3</v>
      </c>
      <c r="B7" s="11">
        <v>10</v>
      </c>
      <c r="C7" s="11">
        <v>16</v>
      </c>
      <c r="D7" s="14" cm="1">
        <f t="array" ref="D7">{0.288697462164284}</f>
        <v>0.28869746216428399</v>
      </c>
      <c r="E7" s="15" cm="1">
        <f t="array" ref="E7">{44471.3028069843}</f>
        <v>44471.302806984299</v>
      </c>
      <c r="F7" s="11" t="s">
        <v>183</v>
      </c>
      <c r="G7" s="11">
        <v>96</v>
      </c>
    </row>
    <row r="8" spans="1:7" x14ac:dyDescent="0.25">
      <c r="A8" s="11">
        <v>4</v>
      </c>
      <c r="B8" s="11">
        <v>7</v>
      </c>
      <c r="C8" s="11">
        <v>15</v>
      </c>
      <c r="D8" s="14" cm="1">
        <f t="array" ref="D8">{0.0498304381503069}</f>
        <v>4.9830438150306897E-2</v>
      </c>
      <c r="E8" s="15" cm="1">
        <f t="array" ref="E8">{44510.0494927363}</f>
        <v>44510.049492736303</v>
      </c>
      <c r="F8" s="11" t="s">
        <v>181</v>
      </c>
      <c r="G8" s="11">
        <v>100</v>
      </c>
    </row>
    <row r="9" spans="1:7" x14ac:dyDescent="0.25">
      <c r="A9" s="11">
        <v>5</v>
      </c>
      <c r="B9" s="11">
        <v>2</v>
      </c>
      <c r="C9" s="11">
        <v>17</v>
      </c>
      <c r="D9" s="14" cm="1">
        <f t="array" ref="D9">{0.0109621596648434}</f>
        <v>1.09621596648434E-2</v>
      </c>
      <c r="E9" s="15" cm="1">
        <f t="array" ref="E9">{44856.2742347109}</f>
        <v>44856.274234710902</v>
      </c>
      <c r="F9" s="11" t="s">
        <v>183</v>
      </c>
      <c r="G9" s="11">
        <v>72</v>
      </c>
    </row>
    <row r="10" spans="1:7" ht="15" customHeight="1" x14ac:dyDescent="0.25">
      <c r="A10" s="11">
        <v>6</v>
      </c>
      <c r="B10" s="11">
        <v>3</v>
      </c>
      <c r="C10" s="11">
        <v>6</v>
      </c>
      <c r="D10" s="14" cm="1">
        <f t="array" ref="D10">{0.0114002943816063}</f>
        <v>1.14002943816063E-2</v>
      </c>
      <c r="E10" s="15" cm="1">
        <f t="array" ref="E10">{44805.840377905}</f>
        <v>44805.840377904999</v>
      </c>
      <c r="F10" s="11" t="s">
        <v>183</v>
      </c>
      <c r="G10" s="11">
        <v>47</v>
      </c>
    </row>
    <row r="11" spans="1:7" ht="15" customHeight="1" x14ac:dyDescent="0.25">
      <c r="A11" s="11">
        <v>7</v>
      </c>
      <c r="B11" s="11">
        <v>3</v>
      </c>
      <c r="C11" s="11">
        <v>16</v>
      </c>
      <c r="D11" s="14" cm="1">
        <f t="array" ref="D11">{0.121781949740377}</f>
        <v>0.121781949740377</v>
      </c>
      <c r="E11" s="15" cm="1">
        <f t="array" ref="E11">{44360.2168189085}</f>
        <v>44360.216818908499</v>
      </c>
      <c r="F11" s="11" t="s">
        <v>183</v>
      </c>
      <c r="G11" s="11">
        <v>20</v>
      </c>
    </row>
    <row r="12" spans="1:7" x14ac:dyDescent="0.25">
      <c r="A12" s="11">
        <v>8</v>
      </c>
      <c r="B12" s="11">
        <v>5</v>
      </c>
      <c r="C12" s="11">
        <v>15</v>
      </c>
      <c r="D12" s="14" cm="1">
        <f t="array" ref="D12">{0.186764436948849}</f>
        <v>0.18676443694884901</v>
      </c>
      <c r="E12" s="15" cm="1">
        <f t="array" ref="E12">{44605.1630022037}</f>
        <v>44605.163002203699</v>
      </c>
      <c r="F12" s="11" t="s">
        <v>181</v>
      </c>
      <c r="G12" s="11">
        <v>81</v>
      </c>
    </row>
    <row r="13" spans="1:7" x14ac:dyDescent="0.25">
      <c r="A13" s="11">
        <v>9</v>
      </c>
      <c r="B13" s="11">
        <v>7</v>
      </c>
      <c r="C13" s="11">
        <v>8</v>
      </c>
      <c r="D13" s="14" cm="1">
        <f t="array" ref="D13">{0.205134384472931}</f>
        <v>0.205134384472931</v>
      </c>
      <c r="E13" s="15" cm="1">
        <f t="array" ref="E13">{44563.7638673661}</f>
        <v>44563.763867366099</v>
      </c>
      <c r="F13" s="11" t="s">
        <v>181</v>
      </c>
      <c r="G13" s="11">
        <v>82</v>
      </c>
    </row>
    <row r="14" spans="1:7" ht="15" customHeight="1" x14ac:dyDescent="0.25">
      <c r="A14" s="11">
        <v>10</v>
      </c>
      <c r="B14" s="11">
        <v>3</v>
      </c>
      <c r="C14" s="11">
        <v>7</v>
      </c>
      <c r="D14" s="14" cm="1">
        <f t="array" ref="D14">{0.293848419722357}</f>
        <v>0.29384841972235698</v>
      </c>
      <c r="E14" s="15" cm="1">
        <f t="array" ref="E14">{44602.584815181}</f>
        <v>44602.584815180999</v>
      </c>
      <c r="F14" s="11" t="s">
        <v>183</v>
      </c>
      <c r="G14" s="11">
        <v>54</v>
      </c>
    </row>
    <row r="15" spans="1:7" ht="15" customHeight="1" x14ac:dyDescent="0.25">
      <c r="A15" s="11">
        <v>11</v>
      </c>
      <c r="B15" s="11">
        <v>10</v>
      </c>
      <c r="C15" s="11">
        <v>13</v>
      </c>
      <c r="D15" s="14" cm="1">
        <f t="array" ref="D15">{0.166329879714847}</f>
        <v>0.166329879714847</v>
      </c>
      <c r="E15" s="15" cm="1">
        <f t="array" ref="E15">{44548.2462077284}</f>
        <v>44548.2462077284</v>
      </c>
      <c r="F15" s="11" t="s">
        <v>182</v>
      </c>
      <c r="G15" s="11">
        <v>24</v>
      </c>
    </row>
    <row r="16" spans="1:7" x14ac:dyDescent="0.25">
      <c r="A16" s="11">
        <v>12</v>
      </c>
      <c r="B16" s="11">
        <v>8</v>
      </c>
      <c r="C16" s="11">
        <v>5</v>
      </c>
      <c r="D16" s="14" cm="1">
        <f t="array" ref="D16">{0.126597454930111}</f>
        <v>0.12659745493011099</v>
      </c>
      <c r="E16" s="15" cm="1">
        <f t="array" ref="E16">{44086.0906805315}</f>
        <v>44086.090680531503</v>
      </c>
      <c r="F16" s="11" t="s">
        <v>183</v>
      </c>
      <c r="G16" s="11">
        <v>58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activeCell="C10" sqref="C10"/>
    </sheetView>
  </sheetViews>
  <sheetFormatPr baseColWidth="10" defaultRowHeight="15" x14ac:dyDescent="0.25"/>
  <sheetData>
    <row r="1" spans="1:3" x14ac:dyDescent="0.25">
      <c r="A1" s="37" t="s">
        <v>186</v>
      </c>
      <c r="B1" s="38"/>
      <c r="C1" s="39"/>
    </row>
    <row r="2" spans="1:3" x14ac:dyDescent="0.25">
      <c r="A2" s="40"/>
      <c r="B2" s="41"/>
      <c r="C2" s="42"/>
    </row>
    <row r="3" spans="1:3" x14ac:dyDescent="0.25">
      <c r="A3" s="43"/>
      <c r="B3" s="44"/>
      <c r="C3" s="45"/>
    </row>
    <row r="4" spans="1:3" x14ac:dyDescent="0.25">
      <c r="A4" s="9" t="s">
        <v>75</v>
      </c>
      <c r="B4" s="4" t="s">
        <v>185</v>
      </c>
      <c r="C4" s="10" t="s">
        <v>166</v>
      </c>
    </row>
    <row r="5" spans="1:3" x14ac:dyDescent="0.25">
      <c r="A5" s="11">
        <v>1</v>
      </c>
      <c r="B5" s="11">
        <v>1</v>
      </c>
      <c r="C5" s="11">
        <v>7</v>
      </c>
    </row>
    <row r="6" spans="1:3" x14ac:dyDescent="0.25">
      <c r="A6" s="11">
        <v>2</v>
      </c>
      <c r="B6" s="11">
        <v>2</v>
      </c>
      <c r="C6" s="11">
        <v>1</v>
      </c>
    </row>
    <row r="7" spans="1:3" x14ac:dyDescent="0.25">
      <c r="A7" s="11">
        <v>3</v>
      </c>
      <c r="B7" s="11">
        <v>3</v>
      </c>
      <c r="C7" s="11">
        <v>3</v>
      </c>
    </row>
    <row r="8" spans="1:3" x14ac:dyDescent="0.25">
      <c r="A8" s="11">
        <v>4</v>
      </c>
      <c r="B8" s="11">
        <v>4</v>
      </c>
      <c r="C8" s="11">
        <v>2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3</v>
      </c>
    </row>
    <row r="11" spans="1:3" x14ac:dyDescent="0.25">
      <c r="A11" s="11">
        <v>7</v>
      </c>
      <c r="B11" s="11">
        <v>7</v>
      </c>
      <c r="C11" s="11">
        <v>1</v>
      </c>
    </row>
    <row r="12" spans="1:3" x14ac:dyDescent="0.25">
      <c r="A12" s="11">
        <v>8</v>
      </c>
      <c r="B12" s="11">
        <v>8</v>
      </c>
      <c r="C12" s="11">
        <v>5</v>
      </c>
    </row>
    <row r="13" spans="1:3" x14ac:dyDescent="0.25">
      <c r="A13" s="11">
        <v>9</v>
      </c>
      <c r="B13" s="11">
        <v>9</v>
      </c>
      <c r="C13" s="11">
        <v>3</v>
      </c>
    </row>
    <row r="14" spans="1:3" x14ac:dyDescent="0.25">
      <c r="A14" s="11">
        <v>10</v>
      </c>
      <c r="B14" s="11">
        <v>10</v>
      </c>
      <c r="C14" s="11">
        <v>1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C11" sqref="C11"/>
    </sheetView>
  </sheetViews>
  <sheetFormatPr baseColWidth="10" defaultRowHeight="15" x14ac:dyDescent="0.25"/>
  <sheetData>
    <row r="1" spans="1:3" x14ac:dyDescent="0.25">
      <c r="A1" s="51" t="s">
        <v>187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6" t="s">
        <v>75</v>
      </c>
      <c r="B4" s="5" t="s">
        <v>185</v>
      </c>
      <c r="C4" s="7" t="s">
        <v>166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3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B11" activeCellId="3" sqref="C11 C8 B8 B11"/>
    </sheetView>
  </sheetViews>
  <sheetFormatPr baseColWidth="10" defaultRowHeight="15" x14ac:dyDescent="0.25"/>
  <sheetData>
    <row r="1" spans="1:3" x14ac:dyDescent="0.25">
      <c r="A1" s="51" t="s">
        <v>230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75</v>
      </c>
      <c r="B4" s="23" t="s">
        <v>185</v>
      </c>
      <c r="C4" s="23" t="s">
        <v>231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6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workbookViewId="0">
      <selection activeCell="L19" sqref="L19"/>
    </sheetView>
  </sheetViews>
  <sheetFormatPr baseColWidth="10" defaultRowHeight="15" x14ac:dyDescent="0.25"/>
  <sheetData>
    <row r="1" spans="1:3" x14ac:dyDescent="0.25">
      <c r="A1" s="51" t="s">
        <v>232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75</v>
      </c>
      <c r="B4" s="23" t="s">
        <v>174</v>
      </c>
      <c r="C4" s="23" t="s">
        <v>231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5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2022-09-27T21:45:30Z</dcterms:modified>
  <cp:category/>
</cp:coreProperties>
</file>